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2000" windowHeight="24000" tabRatio="600" firstSheet="1" activeTab="0" autoFilterDateGrouping="1"/>
  </bookViews>
  <sheets>
    <sheet xmlns:r="http://schemas.openxmlformats.org/officeDocument/2006/relationships" name="Business Guide" sheetId="1" state="visible" r:id="rId1"/>
    <sheet xmlns:r="http://schemas.openxmlformats.org/officeDocument/2006/relationships" name="Formulas" sheetId="2" state="visible" r:id="rId2"/>
    <sheet xmlns:r="http://schemas.openxmlformats.org/officeDocument/2006/relationships" name="Risk Calculator" sheetId="3" state="visible" r:id="rId3"/>
    <sheet xmlns:r="http://schemas.openxmlformats.org/officeDocument/2006/relationships" name="Field Map" sheetId="4" state="visible" r:id="rId4"/>
    <sheet xmlns:r="http://schemas.openxmlformats.org/officeDocument/2006/relationships" name="Test Cases" sheetId="5" state="visible" r:id="rId5"/>
    <sheet xmlns:r="http://schemas.openxmlformats.org/officeDocument/2006/relationships" name="Issues" sheetId="6" state="visible" r:id="rId6"/>
    <sheet xmlns:r="http://schemas.openxmlformats.org/officeDocument/2006/relationships" name="Legend" sheetId="7" state="visible" r:id="rId7"/>
  </sheets>
  <definedNames>
    <definedName name="_xlnm._FilterDatabase" localSheetId="3" hidden="1">'Field Map'!$A$1:$N$25</definedName>
  </definedNames>
  <calcPr calcId="191028" fullCalcOnLoad="1"/>
</workbook>
</file>

<file path=xl/styles.xml><?xml version="1.0" encoding="utf-8"?>
<styleSheet xmlns="http://schemas.openxmlformats.org/spreadsheetml/2006/main">
  <numFmts count="1">
    <numFmt numFmtId="164" formatCode="0.000"/>
  </numFmts>
  <fonts count="11">
    <font>
      <name val="Calibri"/>
      <family val="2"/>
      <color theme="1"/>
      <sz val="11"/>
      <scheme val="minor"/>
    </font>
    <font>
      <name val="Arial"/>
      <b val="1"/>
      <color rgb="FFFFFFFF"/>
      <sz val="11"/>
    </font>
    <font>
      <name val="Arial"/>
      <sz val="10"/>
    </font>
    <font>
      <name val="Arial"/>
      <b val="1"/>
      <sz val="13"/>
    </font>
    <font>
      <name val="Arial"/>
      <b val="1"/>
      <sz val="10"/>
    </font>
    <font>
      <name val="Arial"/>
      <color rgb="FF0000FF"/>
      <sz val="10"/>
    </font>
    <font>
      <name val="Arial"/>
      <b val="1"/>
      <sz val="12"/>
    </font>
    <font>
      <name val="Arial"/>
      <b val="1"/>
      <sz val="11"/>
    </font>
    <font>
      <name val="Arial"/>
      <b val="1"/>
      <sz val="14"/>
    </font>
    <font>
      <name val="Arial"/>
      <b val="1"/>
      <color rgb="FF1F4E79"/>
      <sz val="14"/>
    </font>
    <font>
      <name val="Arial"/>
      <b val="1"/>
      <color rgb="FF1F4E79"/>
      <sz val="11"/>
    </font>
  </fonts>
  <fills count="6">
    <fill>
      <patternFill/>
    </fill>
    <fill>
      <patternFill patternType="gray125"/>
    </fill>
    <fill>
      <patternFill patternType="solid">
        <fgColor rgb="FF1F4E79"/>
      </patternFill>
    </fill>
    <fill>
      <patternFill patternType="solid">
        <fgColor rgb="FFFFF2CC"/>
      </patternFill>
    </fill>
    <fill>
      <patternFill patternType="solid">
        <fgColor rgb="FFE2EFDA"/>
      </patternFill>
    </fill>
    <fill>
      <patternFill patternType="solid">
        <fgColor rgb="FFDDEBF7"/>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applyAlignment="1" pivotButton="0" quotePrefix="0" xfId="0">
      <alignment vertical="center" wrapText="1"/>
    </xf>
    <xf numFmtId="0" fontId="4" fillId="0" borderId="1" applyAlignment="1" pivotButton="0" quotePrefix="0" xfId="0">
      <alignment vertical="center" wrapText="1"/>
    </xf>
    <xf numFmtId="0" fontId="5" fillId="3" borderId="1" applyAlignment="1" pivotButton="0" quotePrefix="0" xfId="0">
      <alignment vertical="center" wrapText="1"/>
    </xf>
    <xf numFmtId="0" fontId="2" fillId="0" borderId="0" applyAlignment="1" pivotButton="0" quotePrefix="0" xfId="0">
      <alignment vertical="center" wrapText="1"/>
    </xf>
    <xf numFmtId="0" fontId="1" fillId="2" borderId="1" pivotButton="0" quotePrefix="0" xfId="0"/>
    <xf numFmtId="0" fontId="2" fillId="4" borderId="1" applyAlignment="1" pivotButton="0" quotePrefix="0" xfId="0">
      <alignment vertical="center" wrapText="1"/>
    </xf>
    <xf numFmtId="164" fontId="2" fillId="4" borderId="1" applyAlignment="1" pivotButton="0" quotePrefix="0" xfId="0">
      <alignment vertical="center" wrapText="1"/>
    </xf>
    <xf numFmtId="0" fontId="5" fillId="3" borderId="0" pivotButton="0" quotePrefix="0" xfId="0"/>
    <xf numFmtId="0" fontId="4" fillId="4" borderId="1" applyAlignment="1" pivotButton="0" quotePrefix="0" xfId="0">
      <alignment vertical="center" wrapText="1"/>
    </xf>
    <xf numFmtId="0" fontId="6" fillId="0" borderId="0" applyAlignment="1" pivotButton="0" quotePrefix="0" xfId="0">
      <alignment vertical="center" wrapText="1"/>
    </xf>
    <xf numFmtId="0" fontId="7" fillId="0" borderId="0" pivotButton="0" quotePrefix="0" xfId="0"/>
    <xf numFmtId="0" fontId="7" fillId="4" borderId="1" pivotButton="0" quotePrefix="0" xfId="0"/>
    <xf numFmtId="0" fontId="2" fillId="3" borderId="1" applyAlignment="1" pivotButton="0" quotePrefix="0" xfId="0">
      <alignment vertical="top" wrapText="1"/>
    </xf>
    <xf numFmtId="0" fontId="8" fillId="0" borderId="0" pivotButton="0" quotePrefix="0" xfId="0"/>
    <xf numFmtId="0" fontId="2" fillId="0" borderId="0" applyAlignment="1" pivotButton="0" quotePrefix="0" xfId="0">
      <alignment wrapText="1"/>
    </xf>
    <xf numFmtId="0" fontId="4" fillId="3" borderId="0" pivotButton="0" quotePrefix="0" xfId="0"/>
    <xf numFmtId="0" fontId="4" fillId="4" borderId="0" pivotButton="0" quotePrefix="0" xfId="0"/>
    <xf numFmtId="0" fontId="4" fillId="0" borderId="0" pivotButton="0" quotePrefix="0" xfId="0"/>
    <xf numFmtId="0" fontId="9" fillId="0" borderId="0" pivotButton="0" quotePrefix="0" xfId="0"/>
    <xf numFmtId="0" fontId="1" fillId="2" borderId="2" applyAlignment="1" pivotButton="0" quotePrefix="0" xfId="0">
      <alignment vertical="top" wrapText="1"/>
    </xf>
    <xf numFmtId="0" fontId="10" fillId="5" borderId="0" pivotButton="0" quotePrefix="0" xfId="0"/>
    <xf numFmtId="0" fontId="2" fillId="0" borderId="2" applyAlignment="1" pivotButton="0" quotePrefix="0" xfId="0">
      <alignment vertical="top" wrapText="1"/>
    </xf>
    <xf numFmtId="0" fontId="4" fillId="0" borderId="2" applyAlignment="1" pivotButton="0" quotePrefix="0" xfId="0">
      <alignment vertical="top" wrapText="1"/>
    </xf>
  </cellXfs>
  <cellStyles count="1">
    <cellStyle name="Normal" xfId="0" builtinId="0"/>
  </cellStyles>
  <dxfs count="6">
    <dxf>
      <font>
        <b val="1"/>
        <color rgb="FF404040"/>
      </font>
      <fill>
        <patternFill patternType="solid">
          <bgColor rgb="FFD9D9D9"/>
        </patternFill>
      </fill>
    </dxf>
    <dxf>
      <font>
        <b val="1"/>
        <color rgb="FF9C0006"/>
      </font>
      <fill>
        <patternFill patternType="solid">
          <bgColor rgb="FFFFC7CE"/>
        </patternFill>
      </fill>
    </dxf>
    <dxf>
      <font>
        <b val="1"/>
        <color rgb="FF006100"/>
      </font>
      <fill>
        <patternFill patternType="solid">
          <bgColor rgb="FFC6EFCE"/>
        </patternFill>
      </fill>
    </dxf>
    <dxf>
      <font>
        <b val="1"/>
        <color rgb="FF404040"/>
      </font>
      <fill>
        <patternFill patternType="solid">
          <bgColor rgb="FFD9D9D9"/>
        </patternFill>
      </fill>
    </dxf>
    <dxf>
      <font>
        <b val="1"/>
        <color rgb="FF9C0006"/>
      </font>
      <fill>
        <patternFill patternType="solid">
          <bgColor rgb="FFFFC7CE"/>
        </patternFill>
      </fill>
    </dxf>
    <dxf>
      <font>
        <b val="1"/>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70" customWidth="1" min="3" max="3"/>
    <col width="70" customWidth="1" min="4" max="4"/>
  </cols>
  <sheetData>
    <row r="1">
      <c r="A1" s="21" t="inlineStr">
        <is>
          <t>ThingsCare risk scoring - business guide (inputs, outputs and how to read them)</t>
        </is>
      </c>
    </row>
    <row r="2"/>
    <row r="3">
      <c r="A3" s="22" t="inlineStr">
        <is>
          <t>Area</t>
        </is>
      </c>
      <c r="B3" s="22" t="inlineStr">
        <is>
          <t>Item</t>
        </is>
      </c>
      <c r="C3" s="22" t="inlineStr">
        <is>
          <t>What it means (plain English)</t>
        </is>
      </c>
      <c r="D3" s="22" t="inlineStr">
        <is>
          <t>How to read it / what to do</t>
        </is>
      </c>
    </row>
    <row r="4">
      <c r="A4" s="23" t="inlineStr">
        <is>
          <t>1. What this workbook is for</t>
        </is>
      </c>
      <c r="B4" s="23" t="n"/>
      <c r="C4" s="23" t="n"/>
      <c r="D4" s="23" t="n"/>
    </row>
    <row r="5">
      <c r="A5" s="24" t="inlineStr">
        <is>
          <t>Purpose</t>
        </is>
      </c>
      <c r="B5" s="25" t="inlineStr">
        <is>
          <t>What ThingsCare scores</t>
        </is>
      </c>
      <c r="C5" s="24" t="inlineStr">
        <is>
          <t>For every machine and every failure scenario (for example "coolant-drift"), ThingsCare asks one question: are this machine's sensors behaving differently from their own normal over the last 30 days? The answer is a Risk score (0-100) and a Severity label (NONE / LOW / MEDIUM / HIGH / CRITICAL).</t>
        </is>
      </c>
      <c r="D5" s="24" t="inlineStr">
        <is>
          <t>Use it to decide which machines need a look first. It ranks unusual behaviour; it does not diagnose the fault.</t>
        </is>
      </c>
    </row>
    <row r="6">
      <c r="A6" s="24" t="inlineStr">
        <is>
          <t>Purpose</t>
        </is>
      </c>
      <c r="B6" s="25" t="inlineStr">
        <is>
          <t>What the score is NOT</t>
        </is>
      </c>
      <c r="C6" s="24" t="inlineStr">
        <is>
          <t>It is not a probability of failure and not a percentage. A risk of 76 does not mean "76% chance of breakdown". It means "the readings are well outside this machine's usual range".</t>
        </is>
      </c>
      <c r="D6" s="24" t="inlineStr">
        <is>
          <t>Do not quote the score to a customer as a failure likelihood.</t>
        </is>
      </c>
    </row>
    <row r="7">
      <c r="A7" s="24" t="inlineStr">
        <is>
          <t>Purpose</t>
        </is>
      </c>
      <c r="B7" s="25" t="inlineStr">
        <is>
          <t>Normal = this machine's own history</t>
        </is>
      </c>
      <c r="C7" s="24" t="inlineStr">
        <is>
          <t>Each sensor is compared with the same sensor on the same machine, not with a factory spec or with other machines.</t>
        </is>
      </c>
      <c r="D7" s="24" t="inlineStr">
        <is>
          <t>A machine that has always run hot will look "normal". A machine whose baseline was built while it was already faulty treats the fault as normal. Check the Baselines panel if a result looks wrong.</t>
        </is>
      </c>
    </row>
    <row r="8">
      <c r="A8" s="23" t="inlineStr">
        <is>
          <t>2. Inputs - what you enter (yellow cells on Risk Calculator)</t>
        </is>
      </c>
      <c r="B8" s="23" t="n"/>
      <c r="C8" s="23" t="n"/>
      <c r="D8" s="23" t="n"/>
    </row>
    <row r="9">
      <c r="A9" s="24" t="inlineStr">
        <is>
          <t>Settings</t>
        </is>
      </c>
      <c r="B9" s="25" t="inlineStr">
        <is>
          <t>Warning sigma (default 1.5)</t>
        </is>
      </c>
      <c r="C9" s="24" t="inlineStr">
        <is>
          <t>How far from normal a reading must be before we call it unusual, measured in "normal swings" (standard deviations).</t>
        </is>
      </c>
      <c r="D9" s="24" t="inlineStr">
        <is>
          <t>Lower it to catch problems earlier but get more false alarms. Raise it for fewer, surer alerts. Leave at 1.5 unless the scenario owner agrees a change.</t>
        </is>
      </c>
    </row>
    <row r="10">
      <c r="A10" s="24" t="inlineStr">
        <is>
          <t>Settings</t>
        </is>
      </c>
      <c r="B10" s="25" t="inlineStr">
        <is>
          <t>Critical sigma (default 2.5)</t>
        </is>
      </c>
      <c r="C10" s="24" t="inlineStr">
        <is>
          <t>How far from normal a reading must be to count as critical. It is also the point where a sensor gives its full contribution to the risk.</t>
        </is>
      </c>
      <c r="D10" s="24" t="inlineStr">
        <is>
          <t>Same trade-off as above. Changing it changes every risk score in the scenario.</t>
        </is>
      </c>
    </row>
    <row r="11">
      <c r="A11" s="24" t="inlineStr">
        <is>
          <t>Settings</t>
        </is>
      </c>
      <c r="B11" s="25" t="inlineStr">
        <is>
          <t>Minimum baseline samples (default 30)</t>
        </is>
      </c>
      <c r="C11" s="24" t="inlineStr">
        <is>
          <t>How many past readings we need before we trust what "normal" is for a sensor.</t>
        </is>
      </c>
      <c r="D11" s="24" t="inlineStr">
        <is>
          <t>Below this the sensor is not scored at all. A new machine needs time before it gets a score.</t>
        </is>
      </c>
    </row>
    <row r="12">
      <c r="A12" s="24" t="inlineStr">
        <is>
          <t>Sensor input</t>
        </is>
      </c>
      <c r="B12" s="25" t="inlineStr">
        <is>
          <t>Signal</t>
        </is>
      </c>
      <c r="C12" s="24" t="inlineStr">
        <is>
          <t>The sensor parameter that belongs to the scenario, e.g. engine_coolant_temperature, hydraulic_oil_pressure. One row per sensor.</t>
        </is>
      </c>
      <c r="D12" s="24" t="inlineStr">
        <is>
          <t>Enter every sensor the scenario uses, including ones without data, so Confidence is calculated correctly.</t>
        </is>
      </c>
    </row>
    <row r="13">
      <c r="A13" s="24" t="inlineStr">
        <is>
          <t>Sensor input</t>
        </is>
      </c>
      <c r="B13" s="25" t="inlineStr">
        <is>
          <t>Latest value</t>
        </is>
      </c>
      <c r="C13" s="24" t="inlineStr">
        <is>
          <t>The newest reading from that sensor, in its own unit (degC, bar, rpm, L/h ...). Comes from telemetry_reading.</t>
        </is>
      </c>
      <c r="D13" s="24" t="inlineStr">
        <is>
          <t>Use the same value the detail page shows in the signal row.</t>
        </is>
      </c>
    </row>
    <row r="14">
      <c r="A14" s="24" t="inlineStr">
        <is>
          <t>Sensor input</t>
        </is>
      </c>
      <c r="B14" s="25" t="inlineStr">
        <is>
          <t>Baseline mean</t>
        </is>
      </c>
      <c r="C14" s="24" t="inlineStr">
        <is>
          <t>The machine's normal level for this sensor: the average of all its readings in the last 30 days. Same unit as the latest value.</t>
        </is>
      </c>
      <c r="D14" s="24" t="inlineStr">
        <is>
          <t>Take it from the Baselines panel, or paste readings into column L and use the Baseline calculator.</t>
        </is>
      </c>
    </row>
    <row r="15">
      <c r="A15" s="24" t="inlineStr">
        <is>
          <t>Sensor input</t>
        </is>
      </c>
      <c r="B15" s="25" t="inlineStr">
        <is>
          <t>Baseline std dev</t>
        </is>
      </c>
      <c r="C15" s="24" t="inlineStr">
        <is>
          <t>How much this sensor normally moves around. Small = a steady sensor; large = a naturally noisy one.</t>
        </is>
      </c>
      <c r="D15" s="24" t="inlineStr">
        <is>
          <t>A very small std dev makes tiny changes look dramatic. A std dev of 0 means the sensor never changed and it cannot be scored.</t>
        </is>
      </c>
    </row>
    <row r="16">
      <c r="A16" s="24" t="inlineStr">
        <is>
          <t>Sensor input</t>
        </is>
      </c>
      <c r="B16" s="25" t="inlineStr">
        <is>
          <t>Baseline samples</t>
        </is>
      </c>
      <c r="C16" s="24" t="inlineStr">
        <is>
          <t>How many readings the baseline was built from.</t>
        </is>
      </c>
      <c r="D16" s="24" t="inlineStr">
        <is>
          <t>Under 30 -&gt; the sensor is "unscored".</t>
        </is>
      </c>
    </row>
    <row r="17">
      <c r="A17" s="24" t="inlineStr">
        <is>
          <t>Sensor input</t>
        </is>
      </c>
      <c r="B17" s="25" t="inlineStr">
        <is>
          <t>Readings (column L)</t>
        </is>
      </c>
      <c r="C17" s="24" t="inlineStr">
        <is>
          <t>Optional: paste up to 200 raw readings of one sensor to rebuild its baseline yourself.</t>
        </is>
      </c>
      <c r="D17" s="24" t="inlineStr">
        <is>
          <t>Compare the result with the Baselines panel on screen.</t>
        </is>
      </c>
    </row>
    <row r="18">
      <c r="A18" s="23" t="inlineStr">
        <is>
          <t>3. Outputs per sensor (green cells, columns F-J)</t>
        </is>
      </c>
      <c r="B18" s="23" t="n"/>
      <c r="C18" s="23" t="n"/>
      <c r="D18" s="23" t="n"/>
    </row>
    <row r="19">
      <c r="A19" s="24" t="inlineStr">
        <is>
          <t>Per sensor</t>
        </is>
      </c>
      <c r="B19" s="25" t="inlineStr">
        <is>
          <t>Scored?</t>
        </is>
      </c>
      <c r="C19" s="24" t="inlineStr">
        <is>
          <t>yes = we have a reading and a trustworthy baseline. no = something is missing (no reading, no baseline, too few samples, or std dev 0).</t>
        </is>
      </c>
      <c r="D19" s="24" t="inlineStr">
        <is>
          <t>"no" does not mean healthy. It means unknown. An unscored sensor adds nothing to the risk.</t>
        </is>
      </c>
    </row>
    <row r="20">
      <c r="A20" s="24" t="inlineStr">
        <is>
          <t>Per sensor</t>
        </is>
      </c>
      <c r="B20" s="25" t="inlineStr">
        <is>
          <t>z</t>
        </is>
      </c>
      <c r="C20" s="24" t="inlineStr">
        <is>
          <t>How many normal swings the latest value is away from normal. z = (Latest - Mean) / Std dev. Plus = above normal, minus = below.</t>
        </is>
      </c>
      <c r="D20" s="24" t="inlineStr">
        <is>
          <t>Example: latest 86, mean 80, std dev 2 -&gt; z = 3.0, i.e. 6 units high, three times the usual swing.</t>
        </is>
      </c>
    </row>
    <row r="21">
      <c r="A21" s="24" t="inlineStr">
        <is>
          <t>Per sensor</t>
        </is>
      </c>
      <c r="B21" s="25" t="inlineStr">
        <is>
          <t>ABS(z)</t>
        </is>
      </c>
      <c r="C21" s="24" t="inlineStr">
        <is>
          <t>The same distance without the sign. High and low are treated as equally bad.</t>
        </is>
      </c>
      <c r="D21" s="24" t="inlineStr">
        <is>
          <t>Under 1.5: everyday variation. 1.5 to 2.5: unusual, keep an eye on it. 2.5 or more: far outside normal.</t>
        </is>
      </c>
    </row>
    <row r="22">
      <c r="A22" s="24" t="inlineStr">
        <is>
          <t>Per sensor</t>
        </is>
      </c>
      <c r="B22" s="25" t="inlineStr">
        <is>
          <t>Contribution</t>
        </is>
      </c>
      <c r="C22" s="24" t="inlineStr">
        <is>
          <t>The distance turned into a 0-1 scale: ABS(z) / 2.5, capped at 1. 1.0 = at or beyond the critical line; 0.6 = at the warning line.</t>
        </is>
      </c>
      <c r="D22" s="24" t="inlineStr">
        <is>
          <t>This is what feeds the risk score.</t>
        </is>
      </c>
    </row>
    <row r="23">
      <c r="A23" s="24" t="inlineStr">
        <is>
          <t>Per sensor</t>
        </is>
      </c>
      <c r="B23" s="25" t="inlineStr">
        <is>
          <t>State</t>
        </is>
      </c>
      <c r="C23" s="24" t="inlineStr">
        <is>
          <t>normal / warning / critical / unscored, from ABS(z) against 1.5 and 2.5.</t>
        </is>
      </c>
      <c r="D23" s="24" t="inlineStr">
        <is>
          <t>This is the chip shown next to each signal on the detail page.</t>
        </is>
      </c>
    </row>
    <row r="24">
      <c r="A24" s="23" t="inlineStr">
        <is>
          <t>4. Outputs per scenario (Risk Calculator rows 18-29)</t>
        </is>
      </c>
      <c r="B24" s="23" t="n"/>
      <c r="C24" s="23" t="n"/>
      <c r="D24" s="23" t="n"/>
    </row>
    <row r="25">
      <c r="A25" s="24" t="inlineStr">
        <is>
          <t>Per scenario</t>
        </is>
      </c>
      <c r="B25" s="25" t="inlineStr">
        <is>
          <t>Abnormal count (bell)</t>
        </is>
      </c>
      <c r="C25" s="24" t="inlineStr">
        <is>
          <t>How many sensors are in warning or critical.</t>
        </is>
      </c>
      <c r="D25" s="24" t="inlineStr">
        <is>
          <t>This is not the number of open alerts on the Dashboard. 3 or more sets the High priority flag.</t>
        </is>
      </c>
    </row>
    <row r="26">
      <c r="A26" s="24" t="inlineStr">
        <is>
          <t>Per scenario</t>
        </is>
      </c>
      <c r="B26" s="25" t="inlineStr">
        <is>
          <t>Confidence</t>
        </is>
      </c>
      <c r="C26" s="24" t="inlineStr">
        <is>
          <t>full = every sensor scored. partial = some scored. none = none scored.</t>
        </is>
      </c>
      <c r="D26" s="24" t="inlineStr">
        <is>
          <t>With partial, treat the score as a floor: an unscored sensor could be hiding a problem. With none, risk is 0 and severity NONE because nothing could be measured, not because all is well.</t>
        </is>
      </c>
    </row>
    <row r="27">
      <c r="A27" s="24" t="inlineStr">
        <is>
          <t>Per scenario</t>
        </is>
      </c>
      <c r="B27" s="25" t="inlineStr">
        <is>
          <t>Risk score (0-100)</t>
        </is>
      </c>
      <c r="C27" s="24" t="inlineStr">
        <is>
          <t>Risk = 100 x (0.7 x worst sensor contribution + 0.3 x average contribution), capped at 100 and rounded.</t>
        </is>
      </c>
      <c r="D27" s="24" t="inlineStr">
        <is>
          <t>The worst sensor drives 70% of the score, so one badly-off sensor is enough to raise it. Many slightly-off sensors push it up a little.</t>
        </is>
      </c>
    </row>
    <row r="28">
      <c r="A28" s="24" t="inlineStr">
        <is>
          <t>Per scenario</t>
        </is>
      </c>
      <c r="B28" s="25" t="inlineStr">
        <is>
          <t>Severity</t>
        </is>
      </c>
      <c r="C28" s="24" t="inlineStr">
        <is>
          <t>Checked in this order: no sensor scored -&gt; NONE; any critical sensor or risk 85+ -&gt; CRITICAL; no abnormal sensor -&gt; NONE; risk 60-84 -&gt; HIGH; 40-59 -&gt; MEDIUM; under 40 -&gt; LOW.</t>
        </is>
      </c>
      <c r="D28" s="24" t="inlineStr">
        <is>
          <t>With default limits, if no sensor is abnormal the risk cannot exceed 60. NONE with risk above 60 means the limits were changed (Issue I1).</t>
        </is>
      </c>
    </row>
    <row r="29">
      <c r="A29" s="24" t="inlineStr">
        <is>
          <t>Per scenario</t>
        </is>
      </c>
      <c r="B29" s="25" t="inlineStr">
        <is>
          <t>Risk chip red?</t>
        </is>
      </c>
      <c r="C29" s="24" t="inlineStr">
        <is>
          <t>Screen rule: red when risk is 60 or more, regardless of severity.</t>
        </is>
      </c>
      <c r="D29" s="24" t="inlineStr">
        <is>
          <t>A red chip on a NONE card is possible, and is worth questioning (see Issues).</t>
        </is>
      </c>
    </row>
    <row r="30">
      <c r="A30" s="24" t="inlineStr">
        <is>
          <t>Per scenario</t>
        </is>
      </c>
      <c r="B30" s="25" t="inlineStr">
        <is>
          <t>Influence model (influence@1)</t>
        </is>
      </c>
      <c r="C30" s="24" t="inlineStr">
        <is>
          <t>Some scenarios compare a sensor with what it should read for the current load and other sensors, instead of a flat 30-day average. On its expected curve -&gt; risk 0. Off it -&gt; risk 50 to 100.</t>
        </is>
      </c>
      <c r="D30" s="24" t="inlineStr">
        <is>
          <t>Severity here is only NONE, HIGH or CRITICAL. If the model cannot score, it falls back to the normal (tier1) rule. The window line on the detail page shows which model scored it.</t>
        </is>
      </c>
    </row>
    <row r="31">
      <c r="A31" s="23" t="inlineStr">
        <is>
          <t>5. How to read the result - suggested action</t>
        </is>
      </c>
      <c r="B31" s="23" t="n"/>
      <c r="C31" s="23" t="n"/>
      <c r="D31" s="23" t="n"/>
    </row>
    <row r="32">
      <c r="A32" s="24" t="inlineStr">
        <is>
          <t>Interpretation</t>
        </is>
      </c>
      <c r="B32" s="25" t="inlineStr">
        <is>
          <t>NONE</t>
        </is>
      </c>
      <c r="C32" s="24" t="inlineStr">
        <is>
          <t>Every scored sensor is within its normal range.</t>
        </is>
      </c>
      <c r="D32" s="24" t="inlineStr">
        <is>
          <t>No action. If Confidence is partial or none, find out why sensors are missing.</t>
        </is>
      </c>
    </row>
    <row r="33">
      <c r="A33" s="24" t="inlineStr">
        <is>
          <t>Interpretation</t>
        </is>
      </c>
      <c r="B33" s="25" t="inlineStr">
        <is>
          <t>LOW (risk under 40)</t>
        </is>
      </c>
      <c r="C33" s="24" t="inlineStr">
        <is>
          <t>At least one sensor is unusual but only slightly.</t>
        </is>
      </c>
      <c r="D33" s="24" t="inlineStr">
        <is>
          <t>Note it. Check the trend graph for whether it is growing.</t>
        </is>
      </c>
    </row>
    <row r="34">
      <c r="A34" s="24" t="inlineStr">
        <is>
          <t>Interpretation</t>
        </is>
      </c>
      <c r="B34" s="25" t="inlineStr">
        <is>
          <t>MEDIUM (risk 40-59)</t>
        </is>
      </c>
      <c r="C34" s="24" t="inlineStr">
        <is>
          <t>One or more sensors are clearly away from normal.</t>
        </is>
      </c>
      <c r="D34" s="24" t="inlineStr">
        <is>
          <t>Watch it and inspect at the next planned service.</t>
        </is>
      </c>
    </row>
    <row r="35">
      <c r="A35" s="24" t="inlineStr">
        <is>
          <t>Interpretation</t>
        </is>
      </c>
      <c r="B35" s="25" t="inlineStr">
        <is>
          <t>HIGH (risk 60-84)</t>
        </is>
      </c>
      <c r="C35" s="24" t="inlineStr">
        <is>
          <t>A sensor is well outside normal, close to the critical line.</t>
        </is>
      </c>
      <c r="D35" s="24" t="inlineStr">
        <is>
          <t>Plan an inspection soon and consider a work order.</t>
        </is>
      </c>
    </row>
    <row r="36">
      <c r="A36" s="24" t="inlineStr">
        <is>
          <t>Interpretation</t>
        </is>
      </c>
      <c r="B36" s="25" t="inlineStr">
        <is>
          <t>CRITICAL (any sensor critical, or risk 85+)</t>
        </is>
      </c>
      <c r="C36" s="24" t="inlineStr">
        <is>
          <t>At least one sensor is 2.5 or more normal swings away from normal.</t>
        </is>
      </c>
      <c r="D36" s="24" t="inlineStr">
        <is>
          <t>Act now: inspect the machine and raise a work order.</t>
        </is>
      </c>
    </row>
    <row r="37">
      <c r="A37" s="24" t="inlineStr">
        <is>
          <t>Interpretation</t>
        </is>
      </c>
      <c r="B37" s="25" t="inlineStr">
        <is>
          <t>Trend line (last 20 scores)</t>
        </is>
      </c>
      <c r="C37" s="24" t="inlineStr">
        <is>
          <t>Shows whether the scenario is getting worse, steady or recovering.</t>
        </is>
      </c>
      <c r="D37" s="24" t="inlineStr">
        <is>
          <t>A rising line at MEDIUM matters more than a single HIGH spike that falls back.</t>
        </is>
      </c>
    </row>
    <row r="38">
      <c r="A38" s="23" t="inlineStr">
        <is>
          <t>6. Worked example (the sample rows on Risk Calculator)</t>
        </is>
      </c>
      <c r="B38" s="23" t="n"/>
      <c r="C38" s="23" t="n"/>
      <c r="D38" s="23" t="n"/>
    </row>
    <row r="39">
      <c r="A39" s="24" t="inlineStr">
        <is>
          <t>Example</t>
        </is>
      </c>
      <c r="B39" s="25" t="inlineStr">
        <is>
          <t>Inputs</t>
        </is>
      </c>
      <c r="C39" s="24" t="inlineStr">
        <is>
          <t>Three sensors, all with mean 80, std dev 2, 500 samples. Latest values 86, 82 and 81.</t>
        </is>
      </c>
      <c r="D39" s="24" t="inlineStr"/>
    </row>
    <row r="40">
      <c r="A40" s="24" t="inlineStr">
        <is>
          <t>Example</t>
        </is>
      </c>
      <c r="B40" s="25" t="inlineStr">
        <is>
          <t>Per sensor</t>
        </is>
      </c>
      <c r="C40" s="24" t="inlineStr">
        <is>
          <t>z = 3.0, 1.0, 0.5 -&gt; contributions 1.0, 0.4, 0.2 -&gt; states critical, normal, normal.</t>
        </is>
      </c>
      <c r="D40" s="24" t="inlineStr">
        <is>
          <t>Sensor A is 6 units above its normal, three times its usual swing.</t>
        </is>
      </c>
    </row>
    <row r="41">
      <c r="A41" s="24" t="inlineStr">
        <is>
          <t>Example</t>
        </is>
      </c>
      <c r="B41" s="25" t="inlineStr">
        <is>
          <t>Scenario</t>
        </is>
      </c>
      <c r="C41" s="24" t="inlineStr">
        <is>
          <t>Abnormal 1, Confidence full, worst 1.0, average 0.533 -&gt; Risk = 100 x (0.7 + 0.16) = 86 -&gt; CRITICAL.</t>
        </is>
      </c>
      <c r="D41" s="24" t="inlineStr">
        <is>
          <t>One sensor alone makes this critical, even though the other two are normal. Inspect what sensor A measures first.</t>
        </is>
      </c>
    </row>
    <row r="42">
      <c r="A42" s="24" t="inlineStr">
        <is>
          <t>Example</t>
        </is>
      </c>
      <c r="B42" s="25" t="inlineStr">
        <is>
          <t>Reverse check</t>
        </is>
      </c>
      <c r="C42" s="24" t="inlineStr">
        <is>
          <t>For a scenario with one sensor, ABS(z) = risk / 100 x 2.5. A card showing 62 means ABS(z) = 1.55, which must be "warning".</t>
        </is>
      </c>
      <c r="D42" s="24" t="inlineStr">
        <is>
          <t>If the card says "normal" instead, log it against Issue I1.</t>
        </is>
      </c>
    </row>
    <row r="43">
      <c r="A43" s="23" t="inlineStr">
        <is>
          <t>7. List page numbers (fleet view)</t>
        </is>
      </c>
      <c r="B43" s="23" t="n"/>
      <c r="C43" s="23" t="n"/>
      <c r="D43" s="23" t="n"/>
    </row>
    <row r="44">
      <c r="A44" s="24" t="inlineStr">
        <is>
          <t>List page</t>
        </is>
      </c>
      <c r="B44" s="25" t="inlineStr">
        <is>
          <t>Machines in scope</t>
        </is>
      </c>
      <c r="C44" s="24" t="inlineStr">
        <is>
          <t>All active machines that match the filters, across all pages.</t>
        </is>
      </c>
      <c r="D44" s="24" t="inlineStr"/>
    </row>
    <row r="45">
      <c r="A45" s="24" t="inlineStr">
        <is>
          <t>List page</t>
        </is>
      </c>
      <c r="B45" s="25" t="inlineStr">
        <is>
          <t>Mean risk score</t>
        </is>
      </c>
      <c r="C45" s="24" t="inlineStr">
        <is>
          <t>Average of each machine's worst scenario risk. Machines with no prediction are left out, not counted as 0.</t>
        </is>
      </c>
      <c r="D45" s="24" t="inlineStr">
        <is>
          <t>A fleet with many unscored machines can look healthier than it is.</t>
        </is>
      </c>
    </row>
    <row r="46">
      <c r="A46" s="24" t="inlineStr">
        <is>
          <t>List page</t>
        </is>
      </c>
      <c r="B46" s="25" t="inlineStr">
        <is>
          <t>High / critical</t>
        </is>
      </c>
      <c r="C46" s="24" t="inlineStr">
        <is>
          <t>Machines whose worst scenario is HIGH or CRITICAL.</t>
        </is>
      </c>
      <c r="D46" s="24" t="inlineStr">
        <is>
          <t>Your short list for today.</t>
        </is>
      </c>
    </row>
    <row r="47">
      <c r="A47" s="24" t="inlineStr">
        <is>
          <t>List page</t>
        </is>
      </c>
      <c r="B47" s="25" t="inlineStr">
        <is>
          <t>No active scenario</t>
        </is>
      </c>
      <c r="C47" s="24" t="inlineStr">
        <is>
          <t>Machines with no prediction yet. It means "not scored yet", not "scenario switched off".</t>
        </is>
      </c>
      <c r="D47" s="24" t="inlineStr"/>
    </row>
    <row r="48">
      <c r="A48" s="24" t="inlineStr">
        <is>
          <t>List page</t>
        </is>
      </c>
      <c r="B48" s="25" t="inlineStr">
        <is>
          <t>Card colour</t>
        </is>
      </c>
      <c r="C48" s="24" t="inlineStr">
        <is>
          <t>Green = NONE/LOW, amber = MEDIUM, red = HIGH/CRITICAL, grey = no prediction.</t>
        </is>
      </c>
      <c r="D48" s="24" t="inlineStr">
        <is>
          <t>Each card shows the machine's worst scenario. With a tie on severity, the first scenario is shown, not the highest risk.</t>
        </is>
      </c>
    </row>
    <row r="49">
      <c r="A49" s="23" t="inlineStr">
        <is>
          <t>8. Forecast and anomaly band (IBM Granite TTM)</t>
        </is>
      </c>
      <c r="B49" s="23" t="n"/>
      <c r="C49" s="23" t="n"/>
      <c r="D49" s="23" t="n"/>
    </row>
    <row r="50">
      <c r="A50" s="24" t="inlineStr">
        <is>
          <t>Forecast</t>
        </is>
      </c>
      <c r="B50" s="25" t="inlineStr">
        <is>
          <t>What it does</t>
        </is>
      </c>
      <c r="C50" s="24" t="inlineStr">
        <is>
          <t>Granite TTM (TinyTimeMixer) reads the last 512 hourly values of a sensor (about 21 days) and predicts the next 24 hours, hour by hour: what the sensor should read if the machine behaves as usual.</t>
        </is>
      </c>
      <c r="D50" s="24" t="inlineStr">
        <is>
          <t>Runs every 4 hours. An alert on a sensor triggers an immediate re-forecast for that machine.</t>
        </is>
      </c>
    </row>
    <row r="51">
      <c r="A51" s="24" t="inlineStr">
        <is>
          <t>Forecast</t>
        </is>
      </c>
      <c r="B51" s="25" t="inlineStr">
        <is>
          <t>Which sensors</t>
        </is>
      </c>
      <c r="C51" s="24" t="inlineStr">
        <is>
          <t>Only sensors the equipment class marks as forecast-enabled.</t>
        </is>
      </c>
      <c r="D51" s="24" t="inlineStr">
        <is>
          <t>A sensor not marked forecast-enabled never gets a forecast or a band; that is a class setting, not a fault.</t>
        </is>
      </c>
    </row>
    <row r="52">
      <c r="A52" s="24" t="inlineStr">
        <is>
          <t>Forecast input</t>
        </is>
      </c>
      <c r="B52" s="25" t="inlineStr">
        <is>
          <t>Hourly values</t>
        </is>
      </c>
      <c r="C52" s="24" t="inlineStr">
        <is>
          <t>The sensor's hourly averages. Small gaps between two real hours are filled with a straight line, and the number of filled hours is stored on the forecast ("imputed").</t>
        </is>
      </c>
      <c r="D52" s="24" t="inlineStr">
        <is>
          <t>Too many missing hours -&gt; no forecast (insufficient_coverage). A gap at the very start or end -&gt; no forecast (gap_at_edge), because filling it would invent a trend.</t>
        </is>
      </c>
    </row>
    <row r="53">
      <c r="A53" s="24" t="inlineStr">
        <is>
          <t>Forecast output</t>
        </is>
      </c>
      <c r="B53" s="25" t="inlineStr">
        <is>
          <t>Forecast value</t>
        </is>
      </c>
      <c r="C53" s="24" t="inlineStr">
        <is>
          <t>The expected reading for each of the next 24 hours.</t>
        </is>
      </c>
      <c r="D53" s="24" t="inlineStr">
        <is>
          <t>It already allows for the machine's usual daily pattern and recent level, unlike the flat 30-day average of section 2.</t>
        </is>
      </c>
    </row>
    <row r="54">
      <c r="A54" s="24" t="inlineStr">
        <is>
          <t>Forecast output</t>
        </is>
      </c>
      <c r="B54" s="25" t="inlineStr">
        <is>
          <t>Residual</t>
        </is>
      </c>
      <c r="C54" s="24" t="inlineStr">
        <is>
          <t>Residual = Actual reading - Forecast for that hour. How far reality landed from what was expected.</t>
        </is>
      </c>
      <c r="D54" s="24" t="inlineStr">
        <is>
          <t>Plus = higher than expected, minus = lower.</t>
        </is>
      </c>
    </row>
    <row r="55">
      <c r="A55" s="24" t="inlineStr">
        <is>
          <t>Forecast output</t>
        </is>
      </c>
      <c r="B55" s="25" t="inlineStr">
        <is>
          <t>Band (normal range of misses)</t>
        </is>
      </c>
      <c r="C55" s="24" t="inlineStr">
        <is>
          <t>Learned from this machine's own past residuals: the middle 95% of them (2.5th to 97.5th percentile). Where a lead time (1 h ahead, 2 h ahead ...) has 20+ past residuals it gets its own band; otherwise the pooled band is used.</t>
        </is>
      </c>
      <c r="D55" s="24" t="inlineStr">
        <is>
          <t>Interval shown = Forecast + band low to Forecast + band high.</t>
        </is>
      </c>
    </row>
    <row r="56">
      <c r="A56" s="24" t="inlineStr">
        <is>
          <t>Forecast output</t>
        </is>
      </c>
      <c r="B56" s="25" t="inlineStr">
        <is>
          <t>Which residuals train the band</t>
        </is>
      </c>
      <c r="C56" s="24" t="inlineStr">
        <is>
          <t>Only clean ones: none from a period with an alert or an open work order on the machine, and none from an hour the machine was not operating (per its shift schedule).</t>
        </is>
      </c>
      <c r="D56" s="24" t="inlineStr">
        <is>
          <t>This stops a fault or a parked machine being learned as "normal".</t>
        </is>
      </c>
    </row>
    <row r="57">
      <c r="A57" s="24" t="inlineStr">
        <is>
          <t>Forecast output</t>
        </is>
      </c>
      <c r="B57" s="25" t="inlineStr">
        <is>
          <t>baseline_not_established</t>
        </is>
      </c>
      <c r="C57" s="24" t="inlineStr">
        <is>
          <t>Fewer than 14 days with clean residuals -&gt; no band yet.</t>
        </is>
      </c>
      <c r="D57" s="24" t="inlineStr">
        <is>
          <t>Shown as its own state, never as normal. A new machine stays here for at least 2 weeks.</t>
        </is>
      </c>
    </row>
    <row r="58">
      <c r="A58" s="24" t="inlineStr">
        <is>
          <t>Forecast output</t>
        </is>
      </c>
      <c r="B58" s="25" t="inlineStr">
        <is>
          <t>no_shift_schedule</t>
        </is>
      </c>
      <c r="C58" s="24" t="inlineStr">
        <is>
          <t>The machine has no shift schedule, so operating hours cannot be told from parked hours, and no band is ever learned.</t>
        </is>
      </c>
      <c r="D58" s="24" t="inlineStr">
        <is>
          <t>Fix by adding a shift schedule for the machine.</t>
        </is>
      </c>
    </row>
    <row r="59">
      <c r="A59" s="24" t="inlineStr">
        <is>
          <t>Interpretation</t>
        </is>
      </c>
      <c r="B59" s="25" t="inlineStr">
        <is>
          <t>Inside the band</t>
        </is>
      </c>
      <c r="C59" s="24" t="inlineStr">
        <is>
          <t>The reading is within the usual size of forecast misses.</t>
        </is>
      </c>
      <c r="D59" s="24" t="inlineStr">
        <is>
          <t>Normal.</t>
        </is>
      </c>
    </row>
    <row r="60">
      <c r="A60" s="24" t="inlineStr">
        <is>
          <t>Interpretation</t>
        </is>
      </c>
      <c r="B60" s="25" t="inlineStr">
        <is>
          <t>Outside the band</t>
        </is>
      </c>
      <c r="C60" s="24" t="inlineStr">
        <is>
          <t>The reading is further from expected than 95% of past clean misses.</t>
        </is>
      </c>
      <c r="D60" s="24" t="inlineStr">
        <is>
          <t>Anomalous. By design about 1 reading in 20 falls outside on a healthy machine, so one point outside is weak evidence; several in a row is strong.</t>
        </is>
      </c>
    </row>
    <row r="61">
      <c r="A61" s="24" t="inlineStr">
        <is>
          <t>Interpretation</t>
        </is>
      </c>
      <c r="B61" s="25" t="inlineStr">
        <is>
          <t>Why use it next to Tier 1</t>
        </is>
      </c>
      <c r="C61" s="24" t="inlineStr">
        <is>
          <t>Tier 1 asks "is this far from the 30-day average?". TTM asks "is this far from what we expected for this hour?".</t>
        </is>
      </c>
      <c r="D61" s="24" t="inlineStr">
        <is>
          <t>TTM avoids alarms on normal daily peaks and can catch a reading that is normal in level but wrong for the time of day.</t>
        </is>
      </c>
    </row>
    <row r="62">
      <c r="A62" s="24" t="inlineStr">
        <is>
          <t>Rule</t>
        </is>
      </c>
      <c r="B62" s="25" t="inlineStr">
        <is>
          <t>Where future numbers come from</t>
        </is>
      </c>
      <c r="C62" s="24" t="inlineStr">
        <is>
          <t>Every future value on screen comes from a TTM run with an id, a horizon and an interval. No AI text model ever produces a future number.</t>
        </is>
      </c>
      <c r="D62" s="24" t="inlineStr">
        <is>
          <t>A predicted value with no interval or run behind it is a bug to report.</t>
        </is>
      </c>
    </row>
    <row r="63">
      <c r="A63" s="24" t="inlineStr">
        <is>
          <t>Example</t>
        </is>
      </c>
      <c r="B63" s="25" t="inlineStr">
        <is>
          <t>Illustrative numbers</t>
        </is>
      </c>
      <c r="C63" s="24" t="inlineStr">
        <is>
          <t>Forecast 62 degC at 14:00; band -3 to +4 -&gt; interval 59 to 66 degC. Actual 65 -&gt; inside -&gt; normal. Actual 81 -&gt; residual +19 -&gt; outside -&gt; anomalous.</t>
        </is>
      </c>
      <c r="D63" s="24" t="inlineStr">
        <is>
          <t>Read as: "expected 62 degC, saw 81 degC".</t>
        </is>
      </c>
    </row>
    <row r="64">
      <c r="A64" s="24" t="inlineStr">
        <is>
          <t>Accuracy (backtest)</t>
        </is>
      </c>
      <c r="B64" s="25" t="inlineStr">
        <is>
          <t>MAE</t>
        </is>
      </c>
      <c r="C64" s="24" t="inlineStr">
        <is>
          <t>Average size of the forecast miss, in the sensor's own unit.</t>
        </is>
      </c>
      <c r="D64" s="24" t="inlineStr">
        <is>
          <t>Smaller is better. It usually grows the further ahead the forecast looks.</t>
        </is>
      </c>
    </row>
    <row r="65">
      <c r="A65" s="24" t="inlineStr">
        <is>
          <t>Accuracy (backtest)</t>
        </is>
      </c>
      <c r="B65" s="25" t="inlineStr">
        <is>
          <t>Persistence and seasonal baselines</t>
        </is>
      </c>
      <c r="C65" s="24" t="inlineStr">
        <is>
          <t>Two simple guesses TTM is compared with: persistence = "it stays at the last reading"; seasonal = "same hour on an earlier day".</t>
        </is>
      </c>
      <c r="D65" s="24" t="inlineStr">
        <is>
          <t>TTM is worth using only where its MAE is lower than both.</t>
        </is>
      </c>
    </row>
    <row r="66">
      <c r="A66" s="24" t="inlineStr">
        <is>
          <t>Accuracy (backtest)</t>
        </is>
      </c>
      <c r="B66" s="25" t="inlineStr">
        <is>
          <t>Scaled MAE (MASE)</t>
        </is>
      </c>
      <c r="C66" s="24" t="inlineStr">
        <is>
          <t>The miss divided by the sensor's usual hour-to-hour change, so sensors in different units can be compared.</t>
        </is>
      </c>
      <c r="D66" s="24" t="inlineStr">
        <is>
          <t>Below 1: the miss is smaller than the sensor's normal hourly movement.</t>
        </is>
      </c>
    </row>
    <row r="67">
      <c r="A67" s="24" t="inlineStr">
        <is>
          <t>Accuracy (backtest)</t>
        </is>
      </c>
      <c r="B67" s="25" t="inlineStr">
        <is>
          <t>Interval coverage</t>
        </is>
      </c>
      <c r="C67" s="24" t="inlineStr">
        <is>
          <t>Share of actual readings that landed inside the band. Should be close to 95%.</t>
        </is>
      </c>
      <c r="D67" s="24" t="inlineStr">
        <is>
          <t>Much lower -&gt; band too narrow, too many false alarms. Much higher -&gt; too wide, faults missed. Today it reads "no_interval_on_forecast" because the stored daily samples carry no band.</t>
        </is>
      </c>
    </row>
    <row r="68">
      <c r="A68" s="24" t="inlineStr">
        <is>
          <t>Accuracy (backtest)</t>
        </is>
      </c>
      <c r="B68" s="25" t="inlineStr">
        <is>
          <t>Excluded steps</t>
        </is>
      </c>
      <c r="C68" s="24" t="inlineStr">
        <is>
          <t>Forecast hours that could not be scored are counted by reason (no actual, no persistence value, no seasonal value ...).</t>
        </is>
      </c>
      <c r="D68" s="24" t="inlineStr">
        <is>
          <t>A large excluded count means the accuracy figure rests on few hours.</t>
        </is>
      </c>
    </row>
    <row r="69">
      <c r="A69" s="23" t="inlineStr">
        <is>
          <t>9. Recommendations (rec-engine@1, "Analyse now")</t>
        </is>
      </c>
      <c r="B69" s="23" t="n"/>
      <c r="C69" s="23" t="n"/>
      <c r="D69" s="23" t="n"/>
    </row>
    <row r="70">
      <c r="A70" s="24" t="inlineStr">
        <is>
          <t>Recommendation</t>
        </is>
      </c>
      <c r="B70" s="25" t="inlineStr">
        <is>
          <t>What it does</t>
        </is>
      </c>
      <c r="C70" s="24" t="inlineStr">
        <is>
          <t>Gathers the evidence about one machine and picks matching actions from the equipment class's recommendation library. Five fixed-rule steps: Detect, Attribute, Precedent, Gap, Cost. No AI model and no probabilities in these five.</t>
        </is>
      </c>
      <c r="D70" s="24" t="inlineStr">
        <is>
          <t>A sixth step, Frame, words the result with a language model and may only use what the evidence contains. It is not covered here.</t>
        </is>
      </c>
    </row>
    <row r="71">
      <c r="A71" s="24" t="inlineStr">
        <is>
          <t>Recommendation input</t>
        </is>
      </c>
      <c r="B71" s="25" t="inlineStr">
        <is>
          <t>Library (per equipment class)</t>
        </is>
      </c>
      <c r="C71" s="24" t="inlineStr">
        <is>
          <t>Failure modes (each names the sensors that show it and a severity) and recommendations (action, urgency, estimated labour hours, parts).</t>
        </is>
      </c>
      <c r="D71" s="24" t="inlineStr">
        <is>
          <t>Authored by master admin and copied into the account. No library content -&gt; no recommendation.</t>
        </is>
      </c>
    </row>
    <row r="72">
      <c r="A72" s="24" t="inlineStr">
        <is>
          <t>Recommendation input</t>
        </is>
      </c>
      <c r="B72" s="25" t="inlineStr">
        <is>
          <t>Machine evidence</t>
        </is>
      </c>
      <c r="C72" s="24" t="inlineStr">
        <is>
          <t>Open and acknowledged alerts, work orders, service records, which sensors are bound and how fresh their readings are.</t>
        </is>
      </c>
      <c r="D72" s="24" t="inlineStr"/>
    </row>
    <row r="73">
      <c r="A73" s="24" t="inlineStr">
        <is>
          <t>Recommendation input</t>
        </is>
      </c>
      <c r="B73" s="25" t="inlineStr">
        <is>
          <t>Account parameters</t>
        </is>
      </c>
      <c r="C73" s="24" t="inlineStr">
        <is>
          <t>labour_rate_per_hour and currency.</t>
        </is>
      </c>
      <c r="D73" s="24" t="inlineStr">
        <is>
          <t>Without them, cost is blocked, never shown as 0.</t>
        </is>
      </c>
    </row>
    <row r="74">
      <c r="A74" s="24" t="inlineStr">
        <is>
          <t>Step 1</t>
        </is>
      </c>
      <c r="B74" s="25" t="inlineStr">
        <is>
          <t>Detect (per sensor)</t>
        </is>
      </c>
      <c r="C74" s="24" t="inlineStr">
        <is>
          <t>anomalous = an open alert is on the sensor. not_observed = a no-telemetry alert, sensor not bound, or no fresh readings. normal = seen and no open alert.</t>
        </is>
      </c>
      <c r="D74" s="24" t="inlineStr">
        <is>
          <t>A dead sensor is never "normal". The forecast band is listed as a source (ready if a TTM model is active, else not_available) but today does not mark a sensor anomalous by itself - see open questions.</t>
        </is>
      </c>
    </row>
    <row r="75">
      <c r="A75" s="24" t="inlineStr">
        <is>
          <t>Step 2</t>
        </is>
      </c>
      <c r="B75" s="25" t="inlineStr">
        <is>
          <t>Attribute (per failure mode)</t>
        </is>
      </c>
      <c r="C75" s="24" t="inlineStr">
        <is>
          <t>active = an open alert on one of its sensors. unknown = one of its sensors cannot be seen, or an open alert comes from a rule that names no sensor. clear = all its sensors seen and nothing points at it.</t>
        </is>
      </c>
      <c r="D75" s="24" t="inlineStr">
        <is>
          <t>Listed active, then unknown, then clear; then most matched sensors, then worst severity. The order is a sort, not a likelihood.</t>
        </is>
      </c>
    </row>
    <row r="76">
      <c r="A76" s="24" t="inlineStr">
        <is>
          <t>Step 3</t>
        </is>
      </c>
      <c r="B76" s="25" t="inlineStr">
        <is>
          <t>Precedent (this machine's history)</t>
        </is>
      </c>
      <c r="C76" s="24" t="inlineStr">
        <is>
          <t>Past alerts on the mode's sensors, work orders raised from those alerts, service records from those work orders. Result: found / none_found / no_history.</t>
        </is>
      </c>
      <c r="D76" s="24" t="inlineStr">
        <is>
          <t>"no_history" means there was nothing to search, not "this never happened". Work orders raised by hand with no alert are not linked.</t>
        </is>
      </c>
    </row>
    <row r="77">
      <c r="A77" s="24" t="inlineStr">
        <is>
          <t>Step 4</t>
        </is>
      </c>
      <c r="B77" s="25" t="inlineStr">
        <is>
          <t>Gap (the candidate actions)</t>
        </is>
      </c>
      <c r="C77" s="24" t="inlineStr">
        <is>
          <t>For each active failure mode, its library recommendations, ordered by urgency: immediate, next_shift, next_service, monitor.</t>
        </is>
      </c>
      <c r="D77" s="24" t="inlineStr">
        <is>
          <t>Flags: already in hand (an open work order exists for that mode), no library recommendation for an active mode, sensors not observed.</t>
        </is>
      </c>
    </row>
    <row r="78">
      <c r="A78" s="24" t="inlineStr">
        <is>
          <t>Step 5</t>
        </is>
      </c>
      <c r="B78" s="25" t="inlineStr">
        <is>
          <t>Cost</t>
        </is>
      </c>
      <c r="C78" s="24" t="inlineStr">
        <is>
          <t>Labour = estimated hours x labour_rate_per_hour, in the account currency. Downtime, parts and fuel are "pending": not computed yet.</t>
        </is>
      </c>
      <c r="D78" s="24" t="inlineStr">
        <is>
          <t>Blocked when the rate, the currency or the hours estimate is missing. Estimated hours are labour time, not machine downtime.</t>
        </is>
      </c>
    </row>
    <row r="79">
      <c r="A79" s="24" t="inlineStr">
        <is>
          <t>Recommendation output</t>
        </is>
      </c>
      <c r="B79" s="25" t="inlineStr">
        <is>
          <t>Status</t>
        </is>
      </c>
      <c r="C79" s="24" t="inlineStr">
        <is>
          <t>ready = evaluated. blocked (insufficient_coverage) = no sensor could be seen. not_configured = machine unclassified, class not in the account, or no library content.</t>
        </is>
      </c>
      <c r="D79" s="24" t="inlineStr">
        <is>
          <t>blocked / not_configured are setup problems; they say nothing about the machine's health.</t>
        </is>
      </c>
    </row>
    <row r="80">
      <c r="A80" s="24" t="inlineStr">
        <is>
          <t>Recommendation output</t>
        </is>
      </c>
      <c r="B80" s="25" t="inlineStr">
        <is>
          <t>Outcome: attributed</t>
        </is>
      </c>
      <c r="C80" s="24" t="inlineStr">
        <is>
          <t>At least one failure mode is active; recommendations are listed.</t>
        </is>
      </c>
      <c r="D80" s="24" t="inlineStr">
        <is>
          <t>Act on the top action by urgency, unless it is already in hand.</t>
        </is>
      </c>
    </row>
    <row r="81">
      <c r="A81" s="24" t="inlineStr">
        <is>
          <t>Recommendation output</t>
        </is>
      </c>
      <c r="B81" s="25" t="inlineStr">
        <is>
          <t>Outcome: unattributed</t>
        </is>
      </c>
      <c r="C81" s="24" t="inlineStr">
        <is>
          <t>Open alerts exist on sensors that no failure mode names.</t>
        </is>
      </c>
      <c r="D81" s="24" t="inlineStr">
        <is>
          <t>Library gap: tell the class owner.</t>
        </is>
      </c>
    </row>
    <row r="82">
      <c r="A82" s="24" t="inlineStr">
        <is>
          <t>Recommendation output</t>
        </is>
      </c>
      <c r="B82" s="25" t="inlineStr">
        <is>
          <t>Outcome: inconclusive</t>
        </is>
      </c>
      <c r="C82" s="24" t="inlineStr">
        <is>
          <t>Nothing active, but some failure modes are unknown because sensors could not be seen.</t>
        </is>
      </c>
      <c r="D82" s="24" t="inlineStr">
        <is>
          <t>Not a clean bill of health. Fix sensor coverage first.</t>
        </is>
      </c>
    </row>
    <row r="83">
      <c r="A83" s="24" t="inlineStr">
        <is>
          <t>Recommendation output</t>
        </is>
      </c>
      <c r="B83" s="25" t="inlineStr">
        <is>
          <t>Outcome: nothing_detected</t>
        </is>
      </c>
      <c r="C83" s="24" t="inlineStr">
        <is>
          <t>Every failure mode is clear.</t>
        </is>
      </c>
      <c r="D83" s="24" t="inlineStr">
        <is>
          <t>Healthy as far as the library's failure modes go.</t>
        </is>
      </c>
    </row>
    <row r="84">
      <c r="A84" s="24" t="inlineStr">
        <is>
          <t>Recommendation output</t>
        </is>
      </c>
      <c r="B84" s="25" t="inlineStr">
        <is>
          <t>Same evidence, same answer</t>
        </is>
      </c>
      <c r="C84" s="24" t="inlineStr">
        <is>
          <t>Re-analysing with unchanged data returns the same evidence bundle; the engine version (rec-engine@1) is recorded on it.</t>
        </is>
      </c>
      <c r="D84" s="24" t="inlineStr">
        <is>
          <t>A different result means something changed: an alert, a work order, a sensor or the library.</t>
        </is>
      </c>
    </row>
    <row r="85">
      <c r="A85" s="24" t="inlineStr">
        <is>
          <t>Example</t>
        </is>
      </c>
      <c r="B85" s="25" t="inlineStr">
        <is>
          <t>Illustrative numbers</t>
        </is>
      </c>
      <c r="C85" s="24" t="inlineStr">
        <is>
          <t>Open alert on engine_coolant_temperature; failure mode "cooling degradation" names that sensor -&gt; active. Library action "Inspect radiator", urgency next_shift, 2 h. Labour rate 800 INR/h -&gt; labour cost 1,600 INR.</t>
        </is>
      </c>
      <c r="D85" s="24" t="inlineStr">
        <is>
          <t>Outcome attributed. Downtime and parts show as pending.</t>
        </is>
      </c>
    </row>
    <row r="86">
      <c r="A86" s="23" t="inlineStr">
        <is>
          <t>10. KPI baseline (coolant_vs_baseline, hydraulic_vs_baseline and other baseline KPIs)</t>
        </is>
      </c>
      <c r="B86" s="23" t="n"/>
      <c r="C86" s="23" t="n"/>
      <c r="D86" s="23" t="n"/>
    </row>
    <row r="87">
      <c r="A87" s="24" t="inlineStr">
        <is>
          <t>KPI baseline</t>
        </is>
      </c>
      <c r="B87" s="25" t="inlineStr">
        <is>
          <t>What it is</t>
        </is>
      </c>
      <c r="C87" s="24" t="inlineStr">
        <is>
          <t>The machine's own "normal" for one sensor, worked out by the platform from its past readings. Nobody types it in. A KPI such as coolant_vs_baseline = zscore(engine_coolant_temperature, 30d) compares the latest reading with it.</t>
        </is>
      </c>
      <c r="D87" s="24" t="inlineStr">
        <is>
          <t>Same idea as the Tier 1 baseline (section 2), but with stricter rules about which readings count.</t>
        </is>
      </c>
    </row>
    <row r="88">
      <c r="A88" s="24" t="inlineStr">
        <is>
          <t>KPI baseline input</t>
        </is>
      </c>
      <c r="B88" s="25" t="inlineStr">
        <is>
          <t>Window</t>
        </is>
      </c>
      <c r="C88" s="24" t="inlineStr">
        <is>
          <t>The readings of that sensor on that machine in the formula's window, e.g. the last 30 days, strictly before now (the reading being judged is not part of its own baseline).</t>
        </is>
      </c>
      <c r="D88" s="24" t="inlineStr">
        <is>
          <t>A longer window = a steadier baseline that reacts more slowly to real change.</t>
        </is>
      </c>
    </row>
    <row r="89">
      <c r="A89" s="24" t="inlineStr">
        <is>
          <t>KPI baseline input</t>
        </is>
      </c>
      <c r="B89" s="25" t="inlineStr">
        <is>
          <t>Only operating hours</t>
        </is>
      </c>
      <c r="C89" s="24" t="inlineStr">
        <is>
          <t>Only readings taken inside a scheduled shift with the engine on are kept.</t>
        </is>
      </c>
      <c r="D89" s="24" t="inlineStr">
        <is>
          <t>A parked engine and a running one are two different populations; mixing them puts the average between the two and makes healthy machines look abnormal every day.</t>
        </is>
      </c>
    </row>
    <row r="90">
      <c r="A90" s="24" t="inlineStr">
        <is>
          <t>KPI baseline input</t>
        </is>
      </c>
      <c r="B90" s="25" t="inlineStr">
        <is>
          <t>Dirty periods removed</t>
        </is>
      </c>
      <c r="C90" s="24" t="inlineStr">
        <is>
          <t>Readings are dropped while an alert on that sensor was open (from when it fired until it was resolved) and while a work order on the machine was open.</t>
        </is>
      </c>
      <c r="D90" s="24" t="inlineStr">
        <is>
          <t>Stops a fault being learned as "normal".</t>
        </is>
      </c>
    </row>
    <row r="91">
      <c r="A91" s="24" t="inlineStr">
        <is>
          <t>KPI baseline output</t>
        </is>
      </c>
      <c r="B91" s="25" t="inlineStr">
        <is>
          <t>Baseline mean</t>
        </is>
      </c>
      <c r="C91" s="24" t="inlineStr">
        <is>
          <t>Average of the readings that are left. In Excel: =AVERAGE(readings).</t>
        </is>
      </c>
      <c r="D91" s="24" t="inlineStr"/>
    </row>
    <row r="92">
      <c r="A92" s="24" t="inlineStr">
        <is>
          <t>KPI baseline output</t>
        </is>
      </c>
      <c r="B92" s="25" t="inlineStr">
        <is>
          <t>Baseline std dev</t>
        </is>
      </c>
      <c r="C92" s="24" t="inlineStr">
        <is>
          <t>How much those readings normally vary. Population form: divide by n. In Excel: =STDEV.P(readings).</t>
        </is>
      </c>
      <c r="D92" s="24" t="inlineStr">
        <is>
          <t>Not STDEV (sample), which the Tier 1 calculator uses; on a few hundred readings the two differ very little.</t>
        </is>
      </c>
    </row>
    <row r="93">
      <c r="A93" s="24" t="inlineStr">
        <is>
          <t>KPI baseline output</t>
        </is>
      </c>
      <c r="B93" s="25" t="inlineStr">
        <is>
          <t>z (the KPI value)</t>
        </is>
      </c>
      <c r="C93" s="24" t="inlineStr">
        <is>
          <t>z = (Latest reading - Baseline mean) / Baseline std dev.</t>
        </is>
      </c>
      <c r="D93" s="24" t="inlineStr">
        <is>
          <t>Read the same way as Tier 1: under 1.5 everyday variation; 1.5 to 2.5 unusual; 2.5 or more far from normal. Plus = above normal, minus = below.</t>
        </is>
      </c>
    </row>
    <row r="94">
      <c r="A94" s="24" t="inlineStr">
        <is>
          <t>KPI baseline output</t>
        </is>
      </c>
      <c r="B94" s="25" t="inlineStr">
        <is>
          <t>Recent vs long-term ratio</t>
        </is>
      </c>
      <c r="C94" s="24" t="inlineStr">
        <is>
          <t>Some KPIs use mean(last 7 days) / mean(last 90 days) instead of z. 1.0 = same as usual; 1.10 = 10% higher than usual.</t>
        </is>
      </c>
      <c r="D94" s="24" t="inlineStr">
        <is>
          <t>The 14-day rule below is checked on the long (90-day) leg only.</t>
        </is>
      </c>
    </row>
    <row r="95">
      <c r="A95" s="24" t="inlineStr">
        <is>
          <t>No baseline yet</t>
        </is>
      </c>
      <c r="B95" s="25" t="inlineStr">
        <is>
          <t>baseline_not_established</t>
        </is>
      </c>
      <c r="C95" s="24" t="inlineStr">
        <is>
          <t>The oldest reading in the window is less than 14 days old (or there are no readings).</t>
        </is>
      </c>
      <c r="D95" s="24" t="inlineStr">
        <is>
          <t>A new machine shows this for its first 2 weeks. It is the platform declining to judge, not a fault. Never shown as normal.</t>
        </is>
      </c>
    </row>
    <row r="96">
      <c r="A96" s="24" t="inlineStr">
        <is>
          <t>No baseline yet</t>
        </is>
      </c>
      <c r="B96" s="25" t="inlineStr">
        <is>
          <t>insufficient_coverage</t>
        </is>
      </c>
      <c r="C96" s="24" t="inlineStr">
        <is>
          <t>After keeping only operating, clean hours: fewer than 15 readings, or readings on fewer than 7 different days.</t>
        </is>
      </c>
      <c r="D96" s="24" t="inlineStr">
        <is>
          <t>The machine has history but has run too little. Check its shift schedule and whether it is really working.</t>
        </is>
      </c>
    </row>
    <row r="97">
      <c r="A97" s="24" t="inlineStr">
        <is>
          <t>No baseline yet</t>
        </is>
      </c>
      <c r="B97" s="25" t="inlineStr">
        <is>
          <t>no_shift_schedule</t>
        </is>
      </c>
      <c r="C97" s="24" t="inlineStr">
        <is>
          <t>The machine has no shift schedule, so operating hours cannot be told from parked hours.</t>
        </is>
      </c>
      <c r="D97" s="24" t="inlineStr">
        <is>
          <t>Fix by adding a shift schedule.</t>
        </is>
      </c>
    </row>
    <row r="98">
      <c r="A98" s="24" t="inlineStr">
        <is>
          <t>No baseline yet</t>
        </is>
      </c>
      <c r="B98" s="25" t="inlineStr">
        <is>
          <t>not_operating</t>
        </is>
      </c>
      <c r="C98" s="24" t="inlineStr">
        <is>
          <t>The baseline exists, but the latest reading was taken while the machine was parked.</t>
        </is>
      </c>
      <c r="D98" s="24" t="inlineStr">
        <is>
          <t>No number is shown: a parked engine judged against a running one would read wildly low (around -21) and mean nothing.</t>
        </is>
      </c>
    </row>
    <row r="99">
      <c r="A99" s="24" t="inlineStr">
        <is>
          <t>Example</t>
        </is>
      </c>
      <c r="B99" s="25" t="inlineStr">
        <is>
          <t>Illustrative numbers</t>
        </is>
      </c>
      <c r="C99" s="24" t="inlineStr">
        <is>
          <t>30-day window; 1,239 operating readings on 22 days, none during an alert or open work order. Mean 84 degC, std dev 2. Latest reading (engine running) 88 degC -&gt; z = (88 - 84) / 2 = 2.0.</t>
        </is>
      </c>
      <c r="D99" s="24" t="inlineStr">
        <is>
          <t>Unusual (between 1.5 and 2.5): watch the trend. The same machine with only 9 days of history would show baseline_not_established instead.</t>
        </is>
      </c>
    </row>
    <row r="100">
      <c r="A100" s="24" t="inlineStr">
        <is>
          <t>Example</t>
        </is>
      </c>
      <c r="B100" s="25" t="inlineStr">
        <is>
          <t>EX-05 in the demo</t>
        </is>
      </c>
      <c r="C100" s="24" t="inlineStr">
        <is>
          <t>EX-05 used to have 9 days of history, so its baseline KPIs read baseline_not_established. Since 22 Oct (commit 8b90917) it has 90 days, so they are ready.</t>
        </is>
      </c>
      <c r="D100" s="24" t="inlineStr">
        <is>
          <t>Nothing was typed in: the platform calculated the baseline from those 90 days of simulated readings.</t>
        </is>
      </c>
    </row>
    <row r="101">
      <c r="A101" s="23" t="inlineStr">
        <is>
          <t>11. Open questions</t>
        </is>
      </c>
      <c r="B101" s="23" t="n"/>
      <c r="C101" s="23" t="n"/>
      <c r="D101" s="23" t="n"/>
    </row>
    <row r="102">
      <c r="A102" s="24" t="inlineStr">
        <is>
          <t>Open</t>
        </is>
      </c>
      <c r="B102" s="25" t="inlineStr">
        <is>
          <t>Forecast band in Detect</t>
        </is>
      </c>
      <c r="C102" s="24" t="inlineStr">
        <is>
          <t>The recommendation engine marks a sensor anomalous only from an open alert. A reading outside the TTM band does not mark it on its own.</t>
        </is>
      </c>
      <c r="D102" s="24" t="inlineStr">
        <is>
          <t>Is that intended, or should a band breach count as anomalous?</t>
        </is>
      </c>
    </row>
    <row r="103">
      <c r="A103" s="24" t="inlineStr">
        <is>
          <t>Open</t>
        </is>
      </c>
      <c r="B103" s="25" t="inlineStr">
        <is>
          <t>Interval coverage</t>
        </is>
      </c>
      <c r="C103" s="24" t="inlineStr">
        <is>
          <t>Coverage cannot be measured yet because the stored daily forecast samples have no band.</t>
        </is>
      </c>
      <c r="D103" s="24" t="inlineStr">
        <is>
          <t>Should the daily sample keep its interval?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pane ySplit="1" topLeftCell="A36" activePane="bottomLeft" state="frozen"/>
      <selection pane="bottomLeft" activeCell="C2" sqref="C2"/>
    </sheetView>
  </sheetViews>
  <sheetFormatPr baseColWidth="8" defaultRowHeight="15"/>
  <cols>
    <col width="22" customWidth="1" min="1" max="1"/>
    <col width="26" customWidth="1" min="2" max="2"/>
    <col width="62" customWidth="1" min="3" max="3"/>
    <col width="52" customWidth="1" min="4" max="4"/>
    <col width="44" customWidth="1" min="5" max="5"/>
  </cols>
  <sheetData>
    <row r="1" ht="30" customHeight="1">
      <c r="A1" s="1" t="inlineStr">
        <is>
          <t>Section</t>
        </is>
      </c>
      <c r="B1" s="1" t="inlineStr">
        <is>
          <t>Value</t>
        </is>
      </c>
      <c r="C1" s="1" t="inlineStr">
        <is>
          <t>Formula / rule</t>
        </is>
      </c>
      <c r="D1" s="1" t="inlineStr">
        <is>
          <t>Where it comes from / notes</t>
        </is>
      </c>
      <c r="E1" s="1" t="inlineStr">
        <is>
          <t>Example</t>
        </is>
      </c>
    </row>
    <row r="2" ht="36" customHeight="1">
      <c r="A2" s="2" t="inlineStr">
        <is>
          <t>Scoring - per signal</t>
        </is>
      </c>
      <c r="B2" s="2" t="inlineStr">
        <is>
          <t>z-score</t>
        </is>
      </c>
      <c r="C2" s="2" t="inlineStr">
        <is>
          <t>z = (Latest value - Baseline mean) / Baseline std dev</t>
        </is>
      </c>
      <c r="D2" s="2" t="inlineStr">
        <is>
          <t>Latest value: newest reading of the signal (telemetry_reading). Mean and std dev: baseline (prediction_baseline).</t>
        </is>
      </c>
      <c r="E2" s="2" t="inlineStr">
        <is>
          <t>value 86, mean 80, std dev 2 -&gt; z = 3.0</t>
        </is>
      </c>
    </row>
    <row r="3" ht="24" customHeight="1">
      <c r="A3" s="2" t="inlineStr">
        <is>
          <t>Scoring - per signal</t>
        </is>
      </c>
      <c r="B3" s="2" t="inlineStr">
        <is>
          <t>Contribution</t>
        </is>
      </c>
      <c r="C3" s="2" t="inlineStr">
        <is>
          <t>Contribution = MIN(1, ABS(z) / Critical sigma)</t>
        </is>
      </c>
      <c r="D3" s="2" t="inlineStr">
        <is>
          <t>Critical sigma default 2.5 (scenario setting critical_sigma can change it).</t>
        </is>
      </c>
      <c r="E3" s="2" t="inlineStr">
        <is>
          <t>z 3.0 -&gt; 3.0/2.5 = 1.2 -&gt; capped 1.0;  z 1.0 -&gt; 0.4</t>
        </is>
      </c>
    </row>
    <row r="4" ht="36" customHeight="1">
      <c r="A4" s="2" t="inlineStr">
        <is>
          <t>Scoring - per signal</t>
        </is>
      </c>
      <c r="B4" s="2" t="inlineStr">
        <is>
          <t>Signal state</t>
        </is>
      </c>
      <c r="C4" s="2" t="inlineStr">
        <is>
          <t>ABS(z) &gt;= Critical sigma (2.5) -&gt; critical
ABS(z) &gt;= Warning sigma (1.5) -&gt; warning
else -&gt; normal</t>
        </is>
      </c>
      <c r="D4" s="2" t="inlineStr">
        <is>
          <t>Warning sigma default 1.5 (scenario setting warning_sigma). Shown as the chip next to each signal on the detail page.</t>
        </is>
      </c>
      <c r="E4" s="2" t="inlineStr">
        <is>
          <t>ABS(z) 1.55 -&gt; warning;  1.2 -&gt; normal;  2.6 -&gt; critical</t>
        </is>
      </c>
    </row>
    <row r="5" ht="24" customHeight="1">
      <c r="A5" s="2" t="inlineStr">
        <is>
          <t>Scoring - per signal</t>
        </is>
      </c>
      <c r="B5" s="2" t="inlineStr">
        <is>
          <t>Unscored signal</t>
        </is>
      </c>
      <c r="C5" s="2" t="inlineStr">
        <is>
          <t>Signal is NOT scored when: no reading, OR no baseline, OR baseline samples &lt; 30, OR baseline std dev = 0</t>
        </is>
      </c>
      <c r="D5" s="2" t="inlineStr">
        <is>
          <t>Minimum samples default 30 (scenario setting minimum_samples). Unscored signals add nothing to the risk.</t>
        </is>
      </c>
      <c r="E5" s="2" t="inlineStr">
        <is>
          <t>New machine with 10 days of data at 2 readings/day -&gt; 20 samples -&gt; unscored</t>
        </is>
      </c>
    </row>
    <row r="6" ht="24" customHeight="1">
      <c r="A6" s="2" t="inlineStr">
        <is>
          <t>Scoring - per scenario</t>
        </is>
      </c>
      <c r="B6" s="2" t="inlineStr">
        <is>
          <t>Abnormal count (bell)</t>
        </is>
      </c>
      <c r="C6" s="2" t="inlineStr">
        <is>
          <t>Abnormal = number of signals whose state is warning OR critical</t>
        </is>
      </c>
      <c r="D6" s="2" t="inlineStr">
        <is>
          <t>Shown as the bell on the list card and "N abnormal" on the detail card.</t>
        </is>
      </c>
      <c r="E6" s="2" t="inlineStr">
        <is>
          <t>1 critical + 2 normal -&gt; 1</t>
        </is>
      </c>
    </row>
    <row r="7" ht="36" customHeight="1">
      <c r="A7" s="2" t="inlineStr">
        <is>
          <t>Scoring - per scenario</t>
        </is>
      </c>
      <c r="B7" s="2" t="inlineStr">
        <is>
          <t>Confidence</t>
        </is>
      </c>
      <c r="C7" s="2" t="inlineStr">
        <is>
          <t>No signal scored -&gt; none
All signals scored -&gt; full
Some scored -&gt; partial</t>
        </is>
      </c>
      <c r="D7" s="2" t="inlineStr">
        <is>
          <t>Chip "full / partial / none".</t>
        </is>
      </c>
      <c r="E7" s="2" t="inlineStr">
        <is>
          <t>3 of 3 scored -&gt; full</t>
        </is>
      </c>
    </row>
    <row r="8" ht="45" customHeight="1">
      <c r="A8" s="2" t="inlineStr">
        <is>
          <t>Scoring - per scenario</t>
        </is>
      </c>
      <c r="B8" s="2" t="inlineStr">
        <is>
          <t>Risk score (Tier 1)</t>
        </is>
      </c>
      <c r="C8" s="2" t="inlineStr">
        <is>
          <t>Risk = ROUND( MIN(100, 100 x (0.7 x Worst contribution + 0.3 x Average contribution)) )
Confidence none -&gt; Risk = 0</t>
        </is>
      </c>
      <c r="D8" s="2" t="inlineStr">
        <is>
          <t>Worst = biggest contribution among scored signals. Average = mean of scored contributions. modelRef = tier1@1.</t>
        </is>
      </c>
      <c r="E8" s="2" t="inlineStr">
        <is>
          <t>Contributions 1.0, 0.4, 0.2 -&gt; worst 1.0, average 0.533 -&gt; 100 x (0.7 + 0.16) = 86</t>
        </is>
      </c>
    </row>
    <row r="9">
      <c r="A9" s="2" t="inlineStr">
        <is>
          <t>Scoring - per scenario</t>
        </is>
      </c>
      <c r="B9" s="2" t="inlineStr">
        <is>
          <t>Severity (Tier 1)</t>
        </is>
      </c>
      <c r="C9" s="2" t="inlineStr">
        <is>
          <t>Checked in order:
1. Confidence none -&gt; NONE
2. Any critical signal OR Risk &gt;= 85 -&gt; CRITICAL
3. Abnormal count = 0 -&gt; NONE
4. Risk &gt;= 60 -&gt; HIGH
5. Risk &gt;= 40 -&gt; MEDIUM
6. else -&gt; LOW</t>
        </is>
      </c>
      <c r="D9" s="2" t="inlineStr">
        <is>
          <t>Shown as NONE / LOW / MEDIUM / HIGH / CRITICAL.</t>
        </is>
      </c>
      <c r="E9" s="2" t="inlineStr">
        <is>
          <t>Risk 76 with 1 warning signal -&gt; HIGH;  Risk 58 with 0 abnormal -&gt; NONE</t>
        </is>
      </c>
    </row>
    <row r="10">
      <c r="A10" s="2" t="inlineStr">
        <is>
          <t>Scoring - per scenario</t>
        </is>
      </c>
      <c r="B10" s="2" t="inlineStr">
        <is>
          <t>High priority flag</t>
        </is>
      </c>
      <c r="C10" s="2" t="inlineStr">
        <is>
          <t>Abnormal count &gt;= 3 -&gt; high priority</t>
        </is>
      </c>
      <c r="D10" s="2" t="inlineStr">
        <is>
          <t>Stored, not shown on ThingsCare cards.</t>
        </is>
      </c>
      <c r="E10" s="2" t="inlineStr">
        <is>
          <t>3 warning signals -&gt; flag on</t>
        </is>
      </c>
    </row>
    <row r="11" ht="24.75" customHeight="1">
      <c r="A11" s="2" t="inlineStr">
        <is>
          <t>Scoring - per scenario</t>
        </is>
      </c>
      <c r="B11" s="2" t="inlineStr">
        <is>
          <t>Limit with no abnormal signal</t>
        </is>
      </c>
      <c r="C11" s="2" t="inlineStr">
        <is>
          <t>If every ABS(z) &lt; 1.5 then every contribution &lt; 0.6, so Risk &lt;= 60</t>
        </is>
      </c>
      <c r="D11" s="2" t="inlineStr">
        <is>
          <t>Used to spot Issue 1: NONE with 0 abnormal and Risk above 60 is impossible with default limits.</t>
        </is>
      </c>
      <c r="E11" s="2" t="inlineStr">
        <is>
          <t>Risk 64 + 0 abnormal -&gt; limits were changed</t>
        </is>
      </c>
    </row>
    <row r="12">
      <c r="A12" s="2" t="inlineStr">
        <is>
          <t>Scoring - per scenario</t>
        </is>
      </c>
      <c r="B12" s="2" t="inlineStr">
        <is>
          <t>Single-signal scenario</t>
        </is>
      </c>
      <c r="C12" s="2" t="inlineStr">
        <is>
          <t>One signal -&gt; Risk = 100 x Contribution, so ABS(z) = Risk / 100 x Critical sigma</t>
        </is>
      </c>
      <c r="D12" s="2" t="inlineStr">
        <is>
          <t>Reverse check from the card number.</t>
        </is>
      </c>
      <c r="E12" s="2" t="inlineStr">
        <is>
          <t>coolant-drift 62 -&gt; ABS(z) = 0.62 x 2.5 = 1.55 -&gt; should be warning</t>
        </is>
      </c>
    </row>
    <row r="13" ht="39" customHeight="1">
      <c r="A13" s="2" t="inlineStr">
        <is>
          <t>Scoring - influence model</t>
        </is>
      </c>
      <c r="B13" s="2" t="inlineStr">
        <is>
          <t>Risk (influence@1)</t>
        </is>
      </c>
      <c r="C13" s="2" t="inlineStr">
        <is>
          <t>On its expected curve -&gt; Risk 0
Off its curve -&gt; Risk = ROUND( MIN(100, 50 + 50 x MIN(1, exceedance)) )</t>
        </is>
      </c>
      <c r="D13" s="2" t="inlineStr">
        <is>
          <t>Used only when the scenario has an influence model (expected value from load and other signals). modelRef = influence@1. Falls back to Tier 1 if it cannot score.</t>
        </is>
      </c>
      <c r="E13" s="2" t="inlineStr">
        <is>
          <t>exceedance 0.4 -&gt; 50 + 20 = 70</t>
        </is>
      </c>
    </row>
    <row r="14">
      <c r="A14" s="2" t="inlineStr">
        <is>
          <t>Scoring - influence model</t>
        </is>
      </c>
      <c r="B14" s="2" t="inlineStr">
        <is>
          <t>Severity (influence@1)</t>
        </is>
      </c>
      <c r="C14" s="2" t="inlineStr">
        <is>
          <t>critical -&gt; CRITICAL;  warning -&gt; HIGH;  none -&gt; NONE  (no LOW / MEDIUM)</t>
        </is>
      </c>
      <c r="D14" s="2" t="inlineStr">
        <is>
          <t>Abnormal count is 0 or 1.</t>
        </is>
      </c>
      <c r="E14" s="2" t="inlineStr"/>
    </row>
    <row r="15" ht="36" customHeight="1">
      <c r="A15" s="2" t="inlineStr">
        <is>
          <t>Baseline</t>
        </is>
      </c>
      <c r="B15" s="2" t="inlineStr">
        <is>
          <t>Baseline mean</t>
        </is>
      </c>
      <c r="C15" s="2" t="inlineStr">
        <is>
          <t>Mean = AVERAGE(all readings of the signal in the last 30 days)</t>
        </is>
      </c>
      <c r="D15" s="2" t="inlineStr">
        <is>
          <t>Baselines panel on the detail page. Window = baseline_window_days, default 30. Recompute button rebuilds it.</t>
        </is>
      </c>
      <c r="E15" s="2" t="inlineStr"/>
    </row>
    <row r="16">
      <c r="A16" s="2" t="inlineStr">
        <is>
          <t>Baseline</t>
        </is>
      </c>
      <c r="B16" s="2" t="inlineStr">
        <is>
          <t>Baseline std dev</t>
        </is>
      </c>
      <c r="C16" s="2" t="inlineStr">
        <is>
          <t>Std dev = sample standard deviation (Excel STDEV) of the same readings; 0 if only one reading</t>
        </is>
      </c>
      <c r="D16" s="2" t="inlineStr"/>
      <c r="E16" s="2" t="inlineStr"/>
    </row>
    <row r="17">
      <c r="A17" s="2" t="inlineStr">
        <is>
          <t>Baseline</t>
        </is>
      </c>
      <c r="B17" s="2" t="inlineStr">
        <is>
          <t>Samples</t>
        </is>
      </c>
      <c r="C17" s="2" t="inlineStr">
        <is>
          <t>Samples = COUNT of readings in the window</t>
        </is>
      </c>
      <c r="D17" s="2" t="inlineStr">
        <is>
          <t>Below 30 -&gt; signal unscored.</t>
        </is>
      </c>
      <c r="E17" s="2" t="inlineStr"/>
    </row>
    <row r="18">
      <c r="A18" s="2" t="inlineStr">
        <is>
          <t>List page</t>
        </is>
      </c>
      <c r="B18" s="2" t="inlineStr">
        <is>
          <t>Worst scenario of a machine</t>
        </is>
      </c>
      <c r="C18" s="2" t="inlineStr">
        <is>
          <t>Scenario with the highest severity (none&lt;low&lt;medium&lt;high&lt;critical). Equal severity -&gt; the FIRST one is kept (not the highest risk).</t>
        </is>
      </c>
      <c r="D18" s="2" t="inlineStr">
        <is>
          <t>This scenario drives the machine card.</t>
        </is>
      </c>
      <c r="E18" s="2" t="inlineStr">
        <is>
          <t>EX-08: all five scenarios NONE -&gt; first (coolant-drift 62) shown</t>
        </is>
      </c>
    </row>
    <row r="19">
      <c r="A19" s="2" t="inlineStr">
        <is>
          <t>List page</t>
        </is>
      </c>
      <c r="B19" s="2" t="inlineStr">
        <is>
          <t>Machines in scope</t>
        </is>
      </c>
      <c r="C19" s="2" t="inlineStr">
        <is>
          <t>COUNT(machines matching filters)</t>
        </is>
      </c>
      <c r="D19" s="2" t="inlineStr">
        <is>
          <t>All pages, not only the 12 on screen.</t>
        </is>
      </c>
      <c r="E19" s="2" t="inlineStr">
        <is>
          <t>14</t>
        </is>
      </c>
    </row>
    <row r="20">
      <c r="A20" s="2" t="inlineStr">
        <is>
          <t>List page</t>
        </is>
      </c>
      <c r="B20" s="2" t="inlineStr">
        <is>
          <t>Mean risk score</t>
        </is>
      </c>
      <c r="C20" s="2" t="inlineStr">
        <is>
          <t>ROUND( SUM(worst risk of machines with a prediction) / COUNT(machines with a prediction) )</t>
        </is>
      </c>
      <c r="D20" s="2" t="inlineStr">
        <is>
          <t>Machines with no prediction are left out (not 0).</t>
        </is>
      </c>
      <c r="E20" s="2" t="inlineStr">
        <is>
          <t>Page 1: 713 / 12 = 59.4</t>
        </is>
      </c>
    </row>
    <row r="21">
      <c r="A21" s="2" t="inlineStr">
        <is>
          <t>List page</t>
        </is>
      </c>
      <c r="B21" s="2" t="inlineStr">
        <is>
          <t>High / critical</t>
        </is>
      </c>
      <c r="C21" s="2" t="inlineStr">
        <is>
          <t>COUNT(machines whose worst severity is high or critical)</t>
        </is>
      </c>
      <c r="D21" s="2" t="inlineStr"/>
      <c r="E21" s="2" t="inlineStr">
        <is>
          <t>2</t>
        </is>
      </c>
    </row>
    <row r="22">
      <c r="A22" s="2" t="inlineStr">
        <is>
          <t>List page</t>
        </is>
      </c>
      <c r="B22" s="2" t="inlineStr">
        <is>
          <t>No active scenario</t>
        </is>
      </c>
      <c r="C22" s="2" t="inlineStr">
        <is>
          <t>Machines in scope - machines with at least one prediction</t>
        </is>
      </c>
      <c r="D22" s="2" t="inlineStr">
        <is>
          <t>Means "not scored yet".</t>
        </is>
      </c>
      <c r="E22" s="2" t="inlineStr">
        <is>
          <t>0</t>
        </is>
      </c>
    </row>
    <row r="23">
      <c r="A23" s="2" t="inlineStr">
        <is>
          <t>List page</t>
        </is>
      </c>
      <c r="B23" s="2" t="inlineStr">
        <is>
          <t>Risk chip colour</t>
        </is>
      </c>
      <c r="C23" s="2" t="inlineStr">
        <is>
          <t>Risk &gt;= 60 -&gt; red, else grey</t>
        </is>
      </c>
      <c r="D23" s="2" t="inlineStr">
        <is>
          <t>Screen rule, independent of severity.</t>
        </is>
      </c>
      <c r="E23" s="2" t="inlineStr">
        <is>
          <t>61 -&gt; red even when NONE</t>
        </is>
      </c>
    </row>
    <row r="24">
      <c r="A24" s="2" t="inlineStr">
        <is>
          <t>List page</t>
        </is>
      </c>
      <c r="B24" s="2" t="inlineStr">
        <is>
          <t>Card colour</t>
        </is>
      </c>
      <c r="C24" s="2" t="inlineStr">
        <is>
          <t>none/low -&gt; green, medium -&gt; amber, high/critical -&gt; red, no prediction -&gt; grey</t>
        </is>
      </c>
      <c r="D24" s="2" t="inlineStr"/>
      <c r="E24" s="2" t="inlineStr"/>
    </row>
    <row r="25">
      <c r="A25" s="2" t="inlineStr">
        <is>
          <t>List page</t>
        </is>
      </c>
      <c r="B25" s="2" t="inlineStr">
        <is>
          <t>Online / Offline</t>
        </is>
      </c>
      <c r="C25" s="2" t="inlineStr">
        <is>
          <t>Latest device health check in last 7 days: state 'dark' -&gt; Offline, any other -&gt; Online, none -&gt; no badge</t>
        </is>
      </c>
      <c r="D25" s="2" t="inlineStr">
        <is>
          <t>device_link_health</t>
        </is>
      </c>
      <c r="E25" s="2" t="inlineStr"/>
    </row>
    <row r="26">
      <c r="A26" s="2" t="inlineStr">
        <is>
          <t>List page</t>
        </is>
      </c>
      <c r="B26" s="2" t="inlineStr">
        <is>
          <t>Pages</t>
        </is>
      </c>
      <c r="C26" s="2" t="inlineStr">
        <is>
          <t>ROUNDUP(Machines in scope / 12)</t>
        </is>
      </c>
      <c r="D26" s="2" t="inlineStr">
        <is>
          <t>12 cards per page</t>
        </is>
      </c>
      <c r="E26" s="2" t="inlineStr">
        <is>
          <t>14 -&gt; 2 pages</t>
        </is>
      </c>
    </row>
    <row r="27">
      <c r="A27" s="2" t="inlineStr">
        <is>
          <t>Detail page</t>
        </is>
      </c>
      <c r="B27" s="2" t="inlineStr">
        <is>
          <t>Line graph</t>
        </is>
      </c>
      <c r="C27" s="2" t="inlineStr">
        <is>
          <t>This scenario's last 20 risk scores, oldest -&gt; newest</t>
        </is>
      </c>
      <c r="D27" s="2" t="inlineStr">
        <is>
          <t>history API, take=20. Shown when 2 or more points.</t>
        </is>
      </c>
      <c r="E27" s="2" t="inlineStr"/>
    </row>
    <row r="28">
      <c r="A28" s="2" t="inlineStr">
        <is>
          <t>Detail page</t>
        </is>
      </c>
      <c r="B28" s="2" t="inlineStr">
        <is>
          <t>Window line</t>
        </is>
      </c>
      <c r="C28" s="2" t="inlineStr">
        <is>
          <t>"&lt;window&gt;d window - &lt;modelRef&gt; - &lt;scored time&gt;"</t>
        </is>
      </c>
      <c r="D28" s="2" t="inlineStr">
        <is>
          <t>windowDays, modelRef, computedAt</t>
        </is>
      </c>
      <c r="E28" s="2" t="inlineStr">
        <is>
          <t>30d window - tier1@1 - 10/22/2026 10:56 PM</t>
        </is>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L207"/>
  <sheetViews>
    <sheetView tabSelected="1" zoomScaleNormal="100" zoomScaleSheetLayoutView="100" workbookViewId="0">
      <selection activeCell="M6" sqref="M6"/>
    </sheetView>
  </sheetViews>
  <sheetFormatPr baseColWidth="8" defaultRowHeight="15"/>
  <cols>
    <col width="34" customWidth="1" min="1" max="1"/>
    <col width="14" customWidth="1" min="2" max="4"/>
    <col width="12" customWidth="1" min="5" max="6"/>
    <col width="10" customWidth="1" min="7" max="8"/>
    <col width="13" customWidth="1" min="9" max="9"/>
    <col width="12" customWidth="1" min="10" max="10"/>
    <col width="14" customWidth="1" min="12" max="12"/>
  </cols>
  <sheetData>
    <row r="1">
      <c r="A1" s="3" t="inlineStr">
        <is>
          <t>Tier 1 risk calculator - type in the yellow cells, green cells calculate</t>
        </is>
      </c>
    </row>
    <row r="3">
      <c r="A3" s="4" t="inlineStr">
        <is>
          <t>Warning sigma (abnormal line)</t>
        </is>
      </c>
      <c r="B3" s="5" t="n">
        <v>1.5</v>
      </c>
      <c r="C3" s="6" t="inlineStr">
        <is>
          <t>Default 1.5</t>
        </is>
      </c>
    </row>
    <row r="4">
      <c r="A4" s="4" t="inlineStr">
        <is>
          <t>Critical sigma</t>
        </is>
      </c>
      <c r="B4" s="5" t="n">
        <v>2.5</v>
      </c>
      <c r="C4" s="6" t="inlineStr">
        <is>
          <t>Default 2.5</t>
        </is>
      </c>
    </row>
    <row r="5">
      <c r="A5" s="4" t="inlineStr">
        <is>
          <t>Minimum baseline samples</t>
        </is>
      </c>
      <c r="B5" s="5" t="n">
        <v>30</v>
      </c>
      <c r="C5" s="6" t="inlineStr">
        <is>
          <t>Default 30</t>
        </is>
      </c>
    </row>
    <row r="7" ht="30" customHeight="1">
      <c r="A7" s="1" t="inlineStr">
        <is>
          <t>Signal</t>
        </is>
      </c>
      <c r="B7" s="1" t="inlineStr">
        <is>
          <t>Latest value</t>
        </is>
      </c>
      <c r="C7" s="1" t="inlineStr">
        <is>
          <t>Baseline mean</t>
        </is>
      </c>
      <c r="D7" s="1" t="inlineStr">
        <is>
          <t>Baseline std dev</t>
        </is>
      </c>
      <c r="E7" s="1" t="inlineStr">
        <is>
          <t>Baseline samples</t>
        </is>
      </c>
      <c r="F7" s="1" t="inlineStr">
        <is>
          <t>Scored?</t>
        </is>
      </c>
      <c r="G7" s="1" t="inlineStr">
        <is>
          <t>z</t>
        </is>
      </c>
      <c r="H7" s="1" t="inlineStr">
        <is>
          <t>ABS(z)</t>
        </is>
      </c>
      <c r="I7" s="1" t="inlineStr">
        <is>
          <t>Contribution</t>
        </is>
      </c>
      <c r="J7" s="1" t="inlineStr">
        <is>
          <t>State</t>
        </is>
      </c>
      <c r="L7" s="7" t="inlineStr">
        <is>
          <t>Readings (paste here)</t>
        </is>
      </c>
    </row>
    <row r="8">
      <c r="A8" s="5" t="inlineStr">
        <is>
          <t>signal A</t>
        </is>
      </c>
      <c r="B8" s="5" t="n">
        <v>86</v>
      </c>
      <c r="C8" s="5" t="n">
        <v>80</v>
      </c>
      <c r="D8" s="5" t="n">
        <v>2</v>
      </c>
      <c r="E8" s="5" t="n">
        <v>500</v>
      </c>
      <c r="F8" s="8">
        <f>IF(A8="","",IF(OR(B8="",C8="",D8="",E8&lt;$B$5,D8&lt;=0),"no","yes"))</f>
        <v/>
      </c>
      <c r="G8" s="9">
        <f>IF(F8="yes",(B8-C8)/D8,"")</f>
        <v/>
      </c>
      <c r="H8" s="9">
        <f>IF(F8="yes",ABS(G8),"")</f>
        <v/>
      </c>
      <c r="I8" s="9">
        <f>IF(F8="yes",MIN(1,H8/$B$4),"")</f>
        <v/>
      </c>
      <c r="J8" s="8">
        <f>IF(A8="","",IF(F8&lt;&gt;"yes","unscored",IF(H8&gt;=$B$4,"critical",IF(H8&gt;=$B$3,"warning","normal"))))</f>
        <v/>
      </c>
      <c r="L8" s="10" t="n"/>
    </row>
    <row r="9">
      <c r="A9" s="5" t="inlineStr">
        <is>
          <t>signal B</t>
        </is>
      </c>
      <c r="B9" s="5" t="n">
        <v>82</v>
      </c>
      <c r="C9" s="5" t="n">
        <v>80</v>
      </c>
      <c r="D9" s="5" t="n">
        <v>2</v>
      </c>
      <c r="E9" s="5" t="n">
        <v>500</v>
      </c>
      <c r="F9" s="8">
        <f>IF(A9="","",IF(OR(B9="",C9="",D9="",E9&lt;$B$5,D9&lt;=0),"no","yes"))</f>
        <v/>
      </c>
      <c r="G9" s="9">
        <f>IF(F9="yes",(B9-C9)/D9,"")</f>
        <v/>
      </c>
      <c r="H9" s="9">
        <f>IF(F9="yes",ABS(G9),"")</f>
        <v/>
      </c>
      <c r="I9" s="9">
        <f>IF(F9="yes",MIN(1,H9/$B$4),"")</f>
        <v/>
      </c>
      <c r="J9" s="8">
        <f>IF(A9="","",IF(F9&lt;&gt;"yes","unscored",IF(H9&gt;=$B$4,"critical",IF(H9&gt;=$B$3,"warning","normal"))))</f>
        <v/>
      </c>
      <c r="L9" s="10" t="n"/>
    </row>
    <row r="10">
      <c r="A10" s="5" t="inlineStr">
        <is>
          <t>signal C</t>
        </is>
      </c>
      <c r="B10" s="5" t="n">
        <v>81</v>
      </c>
      <c r="C10" s="5" t="n">
        <v>80</v>
      </c>
      <c r="D10" s="5" t="n">
        <v>2</v>
      </c>
      <c r="E10" s="5" t="n">
        <v>500</v>
      </c>
      <c r="F10" s="8">
        <f>IF(A10="","",IF(OR(B10="",C10="",D10="",E10&lt;$B$5,D10&lt;=0),"no","yes"))</f>
        <v/>
      </c>
      <c r="G10" s="9">
        <f>IF(F10="yes",(B10-C10)/D10,"")</f>
        <v/>
      </c>
      <c r="H10" s="9">
        <f>IF(F10="yes",ABS(G10),"")</f>
        <v/>
      </c>
      <c r="I10" s="9">
        <f>IF(F10="yes",MIN(1,H10/$B$4),"")</f>
        <v/>
      </c>
      <c r="J10" s="8">
        <f>IF(A10="","",IF(F10&lt;&gt;"yes","unscored",IF(H10&gt;=$B$4,"critical",IF(H10&gt;=$B$3,"warning","normal"))))</f>
        <v/>
      </c>
      <c r="L10" s="10" t="n"/>
    </row>
    <row r="11">
      <c r="A11" s="5" t="n"/>
      <c r="B11" s="5" t="n"/>
      <c r="C11" s="5" t="n"/>
      <c r="D11" s="5" t="n"/>
      <c r="E11" s="5" t="n"/>
      <c r="F11" s="8">
        <f>IF(A11="","",IF(OR(B11="",C11="",D11="",E11&lt;$B$5,D11&lt;=0),"no","yes"))</f>
        <v/>
      </c>
      <c r="G11" s="9">
        <f>IF(F11="yes",(B11-C11)/D11,"")</f>
        <v/>
      </c>
      <c r="H11" s="9">
        <f>IF(F11="yes",ABS(G11),"")</f>
        <v/>
      </c>
      <c r="I11" s="9">
        <f>IF(F11="yes",MIN(1,H11/$B$4),"")</f>
        <v/>
      </c>
      <c r="J11" s="8">
        <f>IF(A11="","",IF(F11&lt;&gt;"yes","unscored",IF(H11&gt;=$B$4,"critical",IF(H11&gt;=$B$3,"warning","normal"))))</f>
        <v/>
      </c>
      <c r="L11" s="10" t="n"/>
    </row>
    <row r="12">
      <c r="A12" s="5" t="n"/>
      <c r="B12" s="5" t="n"/>
      <c r="C12" s="5" t="n"/>
      <c r="D12" s="5" t="n"/>
      <c r="E12" s="5" t="n"/>
      <c r="F12" s="8">
        <f>IF(A12="","",IF(OR(B12="",C12="",D12="",E12&lt;$B$5,D12&lt;=0),"no","yes"))</f>
        <v/>
      </c>
      <c r="G12" s="9">
        <f>IF(F12="yes",(B12-C12)/D12,"")</f>
        <v/>
      </c>
      <c r="H12" s="9">
        <f>IF(F12="yes",ABS(G12),"")</f>
        <v/>
      </c>
      <c r="I12" s="9">
        <f>IF(F12="yes",MIN(1,H12/$B$4),"")</f>
        <v/>
      </c>
      <c r="J12" s="8">
        <f>IF(A12="","",IF(F12&lt;&gt;"yes","unscored",IF(H12&gt;=$B$4,"critical",IF(H12&gt;=$B$3,"warning","normal"))))</f>
        <v/>
      </c>
      <c r="L12" s="10" t="n"/>
    </row>
    <row r="13">
      <c r="A13" s="5" t="n"/>
      <c r="B13" s="5" t="n"/>
      <c r="C13" s="5" t="n"/>
      <c r="D13" s="5" t="n"/>
      <c r="E13" s="5" t="n"/>
      <c r="F13" s="8">
        <f>IF(A13="","",IF(OR(B13="",C13="",D13="",E13&lt;$B$5,D13&lt;=0),"no","yes"))</f>
        <v/>
      </c>
      <c r="G13" s="9">
        <f>IF(F13="yes",(B13-C13)/D13,"")</f>
        <v/>
      </c>
      <c r="H13" s="9">
        <f>IF(F13="yes",ABS(G13),"")</f>
        <v/>
      </c>
      <c r="I13" s="9">
        <f>IF(F13="yes",MIN(1,H13/$B$4),"")</f>
        <v/>
      </c>
      <c r="J13" s="8">
        <f>IF(A13="","",IF(F13&lt;&gt;"yes","unscored",IF(H13&gt;=$B$4,"critical",IF(H13&gt;=$B$3,"warning","normal"))))</f>
        <v/>
      </c>
      <c r="L13" s="10" t="n"/>
    </row>
    <row r="14">
      <c r="A14" s="5" t="n"/>
      <c r="B14" s="5" t="n"/>
      <c r="C14" s="5" t="n"/>
      <c r="D14" s="5" t="n"/>
      <c r="E14" s="5" t="n"/>
      <c r="F14" s="8">
        <f>IF(A14="","",IF(OR(B14="",C14="",D14="",E14&lt;$B$5,D14&lt;=0),"no","yes"))</f>
        <v/>
      </c>
      <c r="G14" s="9">
        <f>IF(F14="yes",(B14-C14)/D14,"")</f>
        <v/>
      </c>
      <c r="H14" s="9">
        <f>IF(F14="yes",ABS(G14),"")</f>
        <v/>
      </c>
      <c r="I14" s="9">
        <f>IF(F14="yes",MIN(1,H14/$B$4),"")</f>
        <v/>
      </c>
      <c r="J14" s="8">
        <f>IF(A14="","",IF(F14&lt;&gt;"yes","unscored",IF(H14&gt;=$B$4,"critical",IF(H14&gt;=$B$3,"warning","normal"))))</f>
        <v/>
      </c>
      <c r="L14" s="10" t="n"/>
    </row>
    <row r="15">
      <c r="A15" s="5" t="n"/>
      <c r="B15" s="5" t="n"/>
      <c r="C15" s="5" t="n"/>
      <c r="D15" s="5" t="n"/>
      <c r="E15" s="5" t="n"/>
      <c r="F15" s="8">
        <f>IF(A15="","",IF(OR(B15="",C15="",D15="",E15&lt;$B$5,D15&lt;=0),"no","yes"))</f>
        <v/>
      </c>
      <c r="G15" s="9">
        <f>IF(F15="yes",(B15-C15)/D15,"")</f>
        <v/>
      </c>
      <c r="H15" s="9">
        <f>IF(F15="yes",ABS(G15),"")</f>
        <v/>
      </c>
      <c r="I15" s="9">
        <f>IF(F15="yes",MIN(1,H15/$B$4),"")</f>
        <v/>
      </c>
      <c r="J15" s="8">
        <f>IF(A15="","",IF(F15&lt;&gt;"yes","unscored",IF(H15&gt;=$B$4,"critical",IF(H15&gt;=$B$3,"warning","normal"))))</f>
        <v/>
      </c>
      <c r="L15" s="10" t="n"/>
    </row>
    <row r="16">
      <c r="L16" s="10" t="n"/>
    </row>
    <row r="17">
      <c r="L17" s="10" t="n"/>
    </row>
    <row r="18">
      <c r="A18" s="4" t="inlineStr">
        <is>
          <t>Signals entered</t>
        </is>
      </c>
      <c r="B18" s="8">
        <f>COUNTA(A8:A15)</f>
        <v/>
      </c>
      <c r="L18" s="10" t="n"/>
    </row>
    <row r="19">
      <c r="A19" s="4" t="inlineStr">
        <is>
          <t>Signals scored</t>
        </is>
      </c>
      <c r="B19" s="8">
        <f>COUNTIF(F8:F15,"yes")</f>
        <v/>
      </c>
      <c r="L19" s="10" t="n"/>
    </row>
    <row r="20">
      <c r="A20" s="4" t="inlineStr">
        <is>
          <t>Signals not scored</t>
        </is>
      </c>
      <c r="B20" s="8">
        <f>B18-B19</f>
        <v/>
      </c>
      <c r="L20" s="10" t="n"/>
    </row>
    <row r="21">
      <c r="A21" s="4" t="inlineStr">
        <is>
          <t>Abnormal count (bell)</t>
        </is>
      </c>
      <c r="B21" s="8">
        <f>COUNTIF(J8:J15,"warning")+COUNTIF(J8:J15,"critical")</f>
        <v/>
      </c>
      <c r="L21" s="10" t="n"/>
    </row>
    <row r="22">
      <c r="A22" s="4" t="inlineStr">
        <is>
          <t>Any critical signal?</t>
        </is>
      </c>
      <c r="B22" s="8">
        <f>IF(COUNTIF(J8:J15,"critical")&gt;0,"yes","no")</f>
        <v/>
      </c>
      <c r="L22" s="10" t="n"/>
    </row>
    <row r="23">
      <c r="A23" s="4" t="inlineStr">
        <is>
          <t>Worst contribution</t>
        </is>
      </c>
      <c r="B23" s="9">
        <f>IF(B19=0,0,MAX(I8:I15))</f>
        <v/>
      </c>
      <c r="L23" s="10" t="n"/>
    </row>
    <row r="24">
      <c r="A24" s="4" t="inlineStr">
        <is>
          <t>Average contribution</t>
        </is>
      </c>
      <c r="B24" s="9">
        <f>IF(B19=0,0,AVERAGE(I8:I15))</f>
        <v/>
      </c>
      <c r="L24" s="10" t="n"/>
    </row>
    <row r="25">
      <c r="A25" s="4" t="inlineStr">
        <is>
          <t>Confidence</t>
        </is>
      </c>
      <c r="B25" s="8">
        <f>IF(B19=0,"none",IF(B20=0,"full","partial"))</f>
        <v/>
      </c>
      <c r="L25" s="10" t="n"/>
    </row>
    <row r="26">
      <c r="A26" s="4" t="inlineStr">
        <is>
          <t>RISK SCORE</t>
        </is>
      </c>
      <c r="B26" s="11">
        <f>IF(B25="none",0,ROUND(MIN(100,100*(0.7*B23+0.3*B24)),0))</f>
        <v/>
      </c>
      <c r="L26" s="10" t="n"/>
    </row>
    <row r="27">
      <c r="A27" s="4" t="inlineStr">
        <is>
          <t>SEVERITY</t>
        </is>
      </c>
      <c r="B27" s="11">
        <f>IF(B25="none","none",IF(OR(B22="yes",B26&gt;=85),"critical",IF(B21=0,"none",IF(B26&gt;=60,"high",IF(B26&gt;=40,"medium","low")))))</f>
        <v/>
      </c>
      <c r="L27" s="10" t="n"/>
    </row>
    <row r="28">
      <c r="A28" s="4" t="inlineStr">
        <is>
          <t>High priority flag</t>
        </is>
      </c>
      <c r="B28" s="8">
        <f>IF(B21&gt;=3,"yes","no")</f>
        <v/>
      </c>
      <c r="L28" s="10" t="n"/>
    </row>
    <row r="29">
      <c r="A29" s="4" t="inlineStr">
        <is>
          <t>Risk chip red on list page?</t>
        </is>
      </c>
      <c r="B29" s="8">
        <f>IF(B26&gt;=60,"yes","no")</f>
        <v/>
      </c>
      <c r="L29" s="10" t="n"/>
    </row>
    <row r="30">
      <c r="L30" s="10" t="n"/>
    </row>
    <row r="31">
      <c r="L31" s="10" t="n"/>
    </row>
    <row r="32" ht="30.75" customHeight="1">
      <c r="A32" s="12" t="inlineStr">
        <is>
          <t>Reverse check from a card (single-signal scenario)</t>
        </is>
      </c>
      <c r="L32" s="10" t="n"/>
    </row>
    <row r="33">
      <c r="A33" s="4" t="inlineStr">
        <is>
          <t>Risk shown on card</t>
        </is>
      </c>
      <c r="B33" s="5" t="n">
        <v>62</v>
      </c>
      <c r="C33" s="6" t="inlineStr">
        <is>
          <t>Example: EX-08 coolant-drift</t>
        </is>
      </c>
      <c r="L33" s="10" t="n"/>
    </row>
    <row r="34">
      <c r="A34" s="4" t="inlineStr">
        <is>
          <t>State shown on card</t>
        </is>
      </c>
      <c r="B34" s="5" t="inlineStr">
        <is>
          <t>normal</t>
        </is>
      </c>
      <c r="L34" s="10" t="n"/>
    </row>
    <row r="35">
      <c r="A35" s="4" t="inlineStr">
        <is>
          <t>ABS(z) behind that risk</t>
        </is>
      </c>
      <c r="B35" s="9">
        <f>B33/100*$B$4</f>
        <v/>
      </c>
      <c r="L35" s="10" t="n"/>
    </row>
    <row r="36">
      <c r="A36" s="4" t="inlineStr">
        <is>
          <t>State it should be</t>
        </is>
      </c>
      <c r="B36" s="8">
        <f>IF(B35&gt;=$B$4,"critical",IF(B35&gt;=$B$3,"warning","normal"))</f>
        <v/>
      </c>
      <c r="L36" s="10" t="n"/>
    </row>
    <row r="37" ht="24" customHeight="1">
      <c r="A37" s="4" t="inlineStr">
        <is>
          <t>Match?</t>
        </is>
      </c>
      <c r="B37" s="11">
        <f>IF(B36=B34,"OK","MISMATCH - log Issue 1")</f>
        <v/>
      </c>
      <c r="L37" s="10" t="n"/>
    </row>
    <row r="38">
      <c r="L38" s="10" t="n"/>
    </row>
    <row r="39">
      <c r="L39" s="10" t="n"/>
    </row>
    <row r="40">
      <c r="A40" s="12" t="inlineStr">
        <is>
          <t>Baseline calculator - paste up to 200 readings of one signal in column L</t>
        </is>
      </c>
      <c r="L40" s="10" t="n"/>
    </row>
    <row r="41">
      <c r="A41" s="4" t="inlineStr">
        <is>
          <t>Mean</t>
        </is>
      </c>
      <c r="B41" s="9">
        <f>IF(COUNT(L8:L207)=0,"",AVERAGE(L8:L207))</f>
        <v/>
      </c>
      <c r="L41" s="10" t="n"/>
    </row>
    <row r="42">
      <c r="A42" s="4" t="inlineStr">
        <is>
          <t>Std dev (sample)</t>
        </is>
      </c>
      <c r="B42" s="9">
        <f>IF(COUNT(L8:L207)&lt;2,0,STDEV(L8:L207))</f>
        <v/>
      </c>
      <c r="L42" s="10" t="n"/>
    </row>
    <row r="43">
      <c r="A43" s="4" t="inlineStr">
        <is>
          <t>Samples</t>
        </is>
      </c>
      <c r="B43" s="8">
        <f>COUNT(L8:L207)</f>
        <v/>
      </c>
      <c r="L43" s="10" t="n"/>
    </row>
    <row r="44">
      <c r="A44" s="4" t="inlineStr">
        <is>
          <t>Enough samples?</t>
        </is>
      </c>
      <c r="B44" s="8">
        <f>IF(B43&gt;=$B$5,"yes","no - unscored")</f>
        <v/>
      </c>
      <c r="L44" s="10" t="n"/>
    </row>
    <row r="45">
      <c r="L45" s="10" t="n"/>
    </row>
    <row r="46">
      <c r="L46" s="10" t="n"/>
    </row>
    <row r="47">
      <c r="L47" s="10" t="n"/>
    </row>
    <row r="48">
      <c r="L48" s="10" t="n"/>
    </row>
    <row r="49">
      <c r="L49" s="10" t="n"/>
    </row>
    <row r="50">
      <c r="L50" s="10" t="n"/>
    </row>
    <row r="51">
      <c r="L51" s="10" t="n"/>
    </row>
    <row r="52">
      <c r="L52" s="10" t="n"/>
    </row>
    <row r="53">
      <c r="L53" s="10" t="n"/>
    </row>
    <row r="54">
      <c r="L54" s="10" t="n"/>
    </row>
    <row r="55">
      <c r="L55" s="10" t="n"/>
    </row>
    <row r="56">
      <c r="L56" s="10" t="n"/>
    </row>
    <row r="57">
      <c r="L57" s="10" t="n"/>
    </row>
    <row r="58">
      <c r="L58" s="10" t="n"/>
    </row>
    <row r="59">
      <c r="L59" s="10" t="n"/>
    </row>
    <row r="60">
      <c r="L60" s="10" t="n"/>
    </row>
    <row r="61">
      <c r="L61" s="10" t="n"/>
    </row>
    <row r="62">
      <c r="L62" s="10" t="n"/>
    </row>
    <row r="63">
      <c r="L63" s="10" t="n"/>
    </row>
    <row r="64">
      <c r="L64" s="10" t="n"/>
    </row>
    <row r="65">
      <c r="L65" s="10" t="n"/>
    </row>
    <row r="66">
      <c r="L66" s="10" t="n"/>
    </row>
    <row r="67">
      <c r="L67" s="10" t="n"/>
    </row>
    <row r="68">
      <c r="L68" s="10" t="n"/>
    </row>
    <row r="69">
      <c r="L69" s="10" t="n"/>
    </row>
    <row r="70">
      <c r="L70" s="10" t="n"/>
    </row>
    <row r="71">
      <c r="L71" s="10" t="n"/>
    </row>
    <row r="72">
      <c r="L72" s="10" t="n"/>
    </row>
    <row r="73">
      <c r="L73" s="10" t="n"/>
    </row>
    <row r="74">
      <c r="L74" s="10" t="n"/>
    </row>
    <row r="75">
      <c r="L75" s="10" t="n"/>
    </row>
    <row r="76">
      <c r="L76" s="10" t="n"/>
    </row>
    <row r="77">
      <c r="L77" s="10" t="n"/>
    </row>
    <row r="78">
      <c r="L78" s="10" t="n"/>
    </row>
    <row r="79">
      <c r="L79" s="10" t="n"/>
    </row>
    <row r="80">
      <c r="L80" s="10" t="n"/>
    </row>
    <row r="81">
      <c r="L81" s="10" t="n"/>
    </row>
    <row r="82">
      <c r="L82" s="10" t="n"/>
    </row>
    <row r="83">
      <c r="L83" s="10" t="n"/>
    </row>
    <row r="84">
      <c r="L84" s="10" t="n"/>
    </row>
    <row r="85">
      <c r="L85" s="10" t="n"/>
    </row>
    <row r="86">
      <c r="L86" s="10" t="n"/>
    </row>
    <row r="87">
      <c r="L87" s="10" t="n"/>
    </row>
    <row r="88">
      <c r="L88" s="10" t="n"/>
    </row>
    <row r="89">
      <c r="L89" s="10" t="n"/>
    </row>
    <row r="90">
      <c r="L90" s="10" t="n"/>
    </row>
    <row r="91">
      <c r="L91" s="10" t="n"/>
    </row>
    <row r="92">
      <c r="L92" s="10" t="n"/>
    </row>
    <row r="93">
      <c r="L93" s="10" t="n"/>
    </row>
    <row r="94">
      <c r="L94" s="10" t="n"/>
    </row>
    <row r="95">
      <c r="L95" s="10" t="n"/>
    </row>
    <row r="96">
      <c r="L96" s="10" t="n"/>
    </row>
    <row r="97">
      <c r="L97" s="10" t="n"/>
    </row>
    <row r="98">
      <c r="L98" s="10" t="n"/>
    </row>
    <row r="99">
      <c r="L99" s="10" t="n"/>
    </row>
    <row r="100">
      <c r="L100" s="10" t="n"/>
    </row>
    <row r="101">
      <c r="L101" s="10" t="n"/>
    </row>
    <row r="102">
      <c r="L102" s="10" t="n"/>
    </row>
    <row r="103">
      <c r="L103" s="10" t="n"/>
    </row>
    <row r="104">
      <c r="L104" s="10" t="n"/>
    </row>
    <row r="105">
      <c r="L105" s="10" t="n"/>
    </row>
    <row r="106">
      <c r="L106" s="10" t="n"/>
    </row>
    <row r="107">
      <c r="L107" s="10" t="n"/>
    </row>
    <row r="108">
      <c r="L108" s="10" t="n"/>
    </row>
    <row r="109">
      <c r="L109" s="10" t="n"/>
    </row>
    <row r="110">
      <c r="L110" s="10" t="n"/>
    </row>
    <row r="111">
      <c r="L111" s="10" t="n"/>
    </row>
    <row r="112">
      <c r="L112" s="10" t="n"/>
    </row>
    <row r="113">
      <c r="L113" s="10" t="n"/>
    </row>
    <row r="114">
      <c r="L114" s="10" t="n"/>
    </row>
    <row r="115">
      <c r="L115" s="10" t="n"/>
    </row>
    <row r="116">
      <c r="L116" s="10" t="n"/>
    </row>
    <row r="117">
      <c r="L117" s="10" t="n"/>
    </row>
    <row r="118">
      <c r="L118" s="10" t="n"/>
    </row>
    <row r="119">
      <c r="L119" s="10" t="n"/>
    </row>
    <row r="120">
      <c r="L120" s="10" t="n"/>
    </row>
    <row r="121">
      <c r="L121" s="10" t="n"/>
    </row>
    <row r="122">
      <c r="L122" s="10" t="n"/>
    </row>
    <row r="123">
      <c r="L123" s="10" t="n"/>
    </row>
    <row r="124">
      <c r="L124" s="10" t="n"/>
    </row>
    <row r="125">
      <c r="L125" s="10" t="n"/>
    </row>
    <row r="126">
      <c r="L126" s="10" t="n"/>
    </row>
    <row r="127">
      <c r="L127" s="10" t="n"/>
    </row>
    <row r="128">
      <c r="L128" s="10" t="n"/>
    </row>
    <row r="129">
      <c r="L129" s="10" t="n"/>
    </row>
    <row r="130">
      <c r="L130" s="10" t="n"/>
    </row>
    <row r="131">
      <c r="L131" s="10" t="n"/>
    </row>
    <row r="132">
      <c r="L132" s="10" t="n"/>
    </row>
    <row r="133">
      <c r="L133" s="10" t="n"/>
    </row>
    <row r="134">
      <c r="L134" s="10" t="n"/>
    </row>
    <row r="135">
      <c r="L135" s="10" t="n"/>
    </row>
    <row r="136">
      <c r="L136" s="10" t="n"/>
    </row>
    <row r="137">
      <c r="L137" s="10" t="n"/>
    </row>
    <row r="138">
      <c r="L138" s="10" t="n"/>
    </row>
    <row r="139">
      <c r="L139" s="10" t="n"/>
    </row>
    <row r="140">
      <c r="L140" s="10" t="n"/>
    </row>
    <row r="141">
      <c r="L141" s="10" t="n"/>
    </row>
    <row r="142">
      <c r="L142" s="10" t="n"/>
    </row>
    <row r="143">
      <c r="L143" s="10" t="n"/>
    </row>
    <row r="144">
      <c r="L144" s="10" t="n"/>
    </row>
    <row r="145">
      <c r="L145" s="10" t="n"/>
    </row>
    <row r="146">
      <c r="L146" s="10" t="n"/>
    </row>
    <row r="147">
      <c r="L147" s="10" t="n"/>
    </row>
    <row r="148">
      <c r="L148" s="10" t="n"/>
    </row>
    <row r="149">
      <c r="L149" s="10" t="n"/>
    </row>
    <row r="150">
      <c r="L150" s="10" t="n"/>
    </row>
    <row r="151">
      <c r="L151" s="10" t="n"/>
    </row>
    <row r="152">
      <c r="L152" s="10" t="n"/>
    </row>
    <row r="153">
      <c r="L153" s="10" t="n"/>
    </row>
    <row r="154">
      <c r="L154" s="10" t="n"/>
    </row>
    <row r="155">
      <c r="L155" s="10" t="n"/>
    </row>
    <row r="156">
      <c r="L156" s="10" t="n"/>
    </row>
    <row r="157">
      <c r="L157" s="10" t="n"/>
    </row>
    <row r="158">
      <c r="L158" s="10" t="n"/>
    </row>
    <row r="159">
      <c r="L159" s="10" t="n"/>
    </row>
    <row r="160">
      <c r="L160" s="10" t="n"/>
    </row>
    <row r="161">
      <c r="L161" s="10" t="n"/>
    </row>
    <row r="162">
      <c r="L162" s="10" t="n"/>
    </row>
    <row r="163">
      <c r="L163" s="10" t="n"/>
    </row>
    <row r="164">
      <c r="L164" s="10" t="n"/>
    </row>
    <row r="165">
      <c r="L165" s="10" t="n"/>
    </row>
    <row r="166">
      <c r="L166" s="10" t="n"/>
    </row>
    <row r="167">
      <c r="L167" s="10" t="n"/>
    </row>
    <row r="168">
      <c r="L168" s="10" t="n"/>
    </row>
    <row r="169">
      <c r="L169" s="10" t="n"/>
    </row>
    <row r="170">
      <c r="L170" s="10" t="n"/>
    </row>
    <row r="171">
      <c r="L171" s="10" t="n"/>
    </row>
    <row r="172">
      <c r="L172" s="10" t="n"/>
    </row>
    <row r="173">
      <c r="L173" s="10" t="n"/>
    </row>
    <row r="174">
      <c r="L174" s="10" t="n"/>
    </row>
    <row r="175">
      <c r="L175" s="10" t="n"/>
    </row>
    <row r="176">
      <c r="L176" s="10" t="n"/>
    </row>
    <row r="177">
      <c r="L177" s="10" t="n"/>
    </row>
    <row r="178">
      <c r="L178" s="10" t="n"/>
    </row>
    <row r="179">
      <c r="L179" s="10" t="n"/>
    </row>
    <row r="180">
      <c r="L180" s="10" t="n"/>
    </row>
    <row r="181">
      <c r="L181" s="10" t="n"/>
    </row>
    <row r="182">
      <c r="L182" s="10" t="n"/>
    </row>
    <row r="183">
      <c r="L183" s="10" t="n"/>
    </row>
    <row r="184">
      <c r="L184" s="10" t="n"/>
    </row>
    <row r="185">
      <c r="L185" s="10" t="n"/>
    </row>
    <row r="186">
      <c r="L186" s="10" t="n"/>
    </row>
    <row r="187">
      <c r="L187" s="10" t="n"/>
    </row>
    <row r="188">
      <c r="L188" s="10" t="n"/>
    </row>
    <row r="189">
      <c r="L189" s="10" t="n"/>
    </row>
    <row r="190">
      <c r="L190" s="10" t="n"/>
    </row>
    <row r="191">
      <c r="L191" s="10" t="n"/>
    </row>
    <row r="192">
      <c r="L192" s="10" t="n"/>
    </row>
    <row r="193">
      <c r="L193" s="10" t="n"/>
    </row>
    <row r="194">
      <c r="L194" s="10" t="n"/>
    </row>
    <row r="195">
      <c r="L195" s="10" t="n"/>
    </row>
    <row r="196">
      <c r="L196" s="10" t="n"/>
    </row>
    <row r="197">
      <c r="L197" s="10" t="n"/>
    </row>
    <row r="198">
      <c r="L198" s="10" t="n"/>
    </row>
    <row r="199">
      <c r="L199" s="10" t="n"/>
    </row>
    <row r="200">
      <c r="L200" s="10" t="n"/>
    </row>
    <row r="201">
      <c r="L201" s="10" t="n"/>
    </row>
    <row r="202">
      <c r="L202" s="10" t="n"/>
    </row>
    <row r="203">
      <c r="L203" s="10" t="n"/>
    </row>
    <row r="204">
      <c r="L204" s="10" t="n"/>
    </row>
    <row r="205">
      <c r="L205" s="10" t="n"/>
    </row>
    <row r="206">
      <c r="L206" s="10" t="n"/>
    </row>
    <row r="207">
      <c r="L207" s="10" t="n"/>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sheetPr>
    <outlinePr summaryBelow="1" summaryRight="1"/>
    <pageSetUpPr/>
  </sheetPr>
  <dimension ref="A1:N25"/>
  <sheetViews>
    <sheetView workbookViewId="0">
      <pane xSplit="3" ySplit="1" topLeftCell="D35" activePane="bottomRight" state="frozen"/>
      <selection pane="bottomRight" activeCell="C3" sqref="C3"/>
      <selection pane="bottomLeft" activeCell="A1" sqref="A1"/>
      <selection pane="topRight" activeCell="A1" sqref="A1"/>
    </sheetView>
  </sheetViews>
  <sheetFormatPr baseColWidth="8" defaultRowHeight="15"/>
  <cols>
    <col width="7" customWidth="1" min="1" max="1"/>
    <col width="12" customWidth="1" min="2" max="2"/>
    <col width="24" customWidth="1" min="3" max="3"/>
    <col width="20" customWidth="1" min="4" max="4"/>
    <col width="32" customWidth="1" min="5" max="5"/>
    <col width="26" customWidth="1" min="6" max="6"/>
    <col width="40" customWidth="1" min="7" max="7"/>
    <col width="46" customWidth="1" min="8" max="8"/>
    <col width="30" customWidth="1" min="9" max="9"/>
    <col width="26" customWidth="1" min="10" max="10"/>
    <col width="10" customWidth="1" min="11" max="11"/>
    <col width="12" customWidth="1" min="12" max="12"/>
    <col width="14" customWidth="1" min="13" max="13"/>
    <col width="44" customWidth="1" min="14" max="14"/>
  </cols>
  <sheetData>
    <row r="1" ht="30" customHeight="1">
      <c r="A1" s="1" t="inlineStr">
        <is>
          <t>Sl. No.</t>
        </is>
      </c>
      <c r="B1" s="1" t="inlineStr">
        <is>
          <t>Page</t>
        </is>
      </c>
      <c r="C1" s="1" t="inlineStr">
        <is>
          <t>Section / Card</t>
        </is>
      </c>
      <c r="D1" s="1" t="inlineStr">
        <is>
          <t>Value on Screen</t>
        </is>
      </c>
      <c r="E1" s="1" t="inlineStr">
        <is>
          <t>API Endpoint</t>
        </is>
      </c>
      <c r="F1" s="1" t="inlineStr">
        <is>
          <t>Source Data</t>
        </is>
      </c>
      <c r="G1" s="1" t="inlineStr">
        <is>
          <t>Formula</t>
        </is>
      </c>
      <c r="H1" s="1" t="inlineStr">
        <is>
          <t>Logic / Condition</t>
        </is>
      </c>
      <c r="I1" s="1" t="inlineStr">
        <is>
          <t>Edge Case / Empty State</t>
        </is>
      </c>
      <c r="J1" s="1" t="inlineStr">
        <is>
          <t>Expected Value</t>
        </is>
      </c>
      <c r="K1" s="1" t="inlineStr">
        <is>
          <t>Status</t>
        </is>
      </c>
      <c r="L1" s="1" t="inlineStr">
        <is>
          <t>Test Date</t>
        </is>
      </c>
      <c r="M1" s="1" t="inlineStr">
        <is>
          <t>Role / Login</t>
        </is>
      </c>
      <c r="N1" s="1" t="inlineStr">
        <is>
          <t>Remark</t>
        </is>
      </c>
    </row>
    <row r="2">
      <c r="A2" s="2" t="n">
        <v>1</v>
      </c>
      <c r="B2" s="2" t="inlineStr">
        <is>
          <t>ThingsCare list</t>
        </is>
      </c>
      <c r="C2" s="2" t="inlineStr">
        <is>
          <t>Banner + (i) tooltip</t>
        </is>
      </c>
      <c r="D2" s="2" t="inlineStr">
        <is>
          <t>Deterministic scoring / ThingsCare: Scenario Risk</t>
        </is>
      </c>
      <c r="E2" s="2" t="inlineStr">
        <is>
          <t>Static</t>
        </is>
      </c>
      <c r="F2" s="2" t="inlineStr">
        <is>
          <t>Static</t>
        </is>
      </c>
      <c r="G2" s="2" t="inlineStr">
        <is>
          <t>NA</t>
        </is>
      </c>
      <c r="H2" s="2" t="inlineStr">
        <is>
          <t>NA</t>
        </is>
      </c>
      <c r="I2" s="2" t="inlineStr">
        <is>
          <t>NA</t>
        </is>
      </c>
      <c r="J2" s="2" t="inlineStr">
        <is>
          <t>Same text as on screen</t>
        </is>
      </c>
      <c r="K2" s="15" t="n"/>
      <c r="L2" s="2" t="inlineStr">
        <is>
          <t>24-Oct-2026</t>
        </is>
      </c>
      <c r="M2" s="2" t="inlineStr"/>
      <c r="N2" s="2" t="inlineStr"/>
    </row>
    <row r="3">
      <c r="A3" s="2" t="n">
        <v>2</v>
      </c>
      <c r="B3" s="2" t="inlineStr">
        <is>
          <t>ThingsCare list</t>
        </is>
      </c>
      <c r="C3" s="2" t="inlineStr">
        <is>
          <t>Machines in scope</t>
        </is>
      </c>
      <c r="D3" s="2" t="inlineStr">
        <is>
          <t>14</t>
        </is>
      </c>
      <c r="E3" s="2" t="inlineStr">
        <is>
          <t>GET /api/v1/equipment</t>
        </is>
      </c>
      <c r="F3" s="2" t="inlineStr">
        <is>
          <t>equipment_profile</t>
        </is>
      </c>
      <c r="G3" s="2" t="inlineStr">
        <is>
          <t>COUNT(machines after filters)</t>
        </is>
      </c>
      <c r="H3" s="2" t="inlineStr">
        <is>
          <t>Active machines, filtered by site, class, online/offline, search, selected equipment. All pages.</t>
        </is>
      </c>
      <c r="I3" s="2" t="inlineStr">
        <is>
          <t>No match -&gt; 0</t>
        </is>
      </c>
      <c r="J3" s="2" t="inlineStr">
        <is>
          <t>Active machines matching filters</t>
        </is>
      </c>
      <c r="K3" s="15" t="n"/>
      <c r="L3" s="2" t="inlineStr">
        <is>
          <t>24-Oct-2026</t>
        </is>
      </c>
      <c r="M3" s="2" t="inlineStr"/>
      <c r="N3" s="2" t="inlineStr"/>
    </row>
    <row r="4">
      <c r="A4" s="2" t="n">
        <v>3</v>
      </c>
      <c r="B4" s="2" t="inlineStr">
        <is>
          <t>ThingsCare list</t>
        </is>
      </c>
      <c r="C4" s="2" t="inlineStr">
        <is>
          <t>Mean risk score</t>
        </is>
      </c>
      <c r="D4" s="2" t="inlineStr">
        <is>
          <t>60</t>
        </is>
      </c>
      <c r="E4" s="2" t="inlineStr">
        <is>
          <t>GET /api/v1/predictions/{source}/{machine} (one call per machine)</t>
        </is>
      </c>
      <c r="F4" s="2" t="inlineStr">
        <is>
          <t>prediction</t>
        </is>
      </c>
      <c r="G4" s="2" t="inlineStr">
        <is>
          <t>ROUND(SUM(worst risk) / machines with a prediction)</t>
        </is>
      </c>
      <c r="H4" s="2" t="inlineStr">
        <is>
          <t>Latest prediction per scenario; worst per machine by severity; machines without prediction left out.</t>
        </is>
      </c>
      <c r="I4" s="2" t="inlineStr">
        <is>
          <t>None -&gt; '-'</t>
        </is>
      </c>
      <c r="J4" s="2" t="inlineStr">
        <is>
          <t>See Fleet Summary sheet</t>
        </is>
      </c>
      <c r="K4" s="15" t="n"/>
      <c r="L4" s="2" t="inlineStr">
        <is>
          <t>24-Oct-2026</t>
        </is>
      </c>
      <c r="M4" s="2" t="inlineStr"/>
      <c r="N4" s="2" t="inlineStr"/>
    </row>
    <row r="5">
      <c r="A5" s="2" t="n">
        <v>4</v>
      </c>
      <c r="B5" s="2" t="inlineStr">
        <is>
          <t>ThingsCare list</t>
        </is>
      </c>
      <c r="C5" s="2" t="inlineStr">
        <is>
          <t>High / critical</t>
        </is>
      </c>
      <c r="D5" s="2" t="inlineStr">
        <is>
          <t>2</t>
        </is>
      </c>
      <c r="E5" s="2" t="inlineStr">
        <is>
          <t>GET /api/v1/predictions/{source}/{machine}</t>
        </is>
      </c>
      <c r="F5" s="2" t="inlineStr">
        <is>
          <t>prediction</t>
        </is>
      </c>
      <c r="G5" s="2" t="inlineStr">
        <is>
          <t>COUNT(worst severity = high or critical)</t>
        </is>
      </c>
      <c r="H5" s="2" t="inlineStr">
        <is>
          <t>All filtered machines.</t>
        </is>
      </c>
      <c r="I5" s="2" t="inlineStr">
        <is>
          <t>0</t>
        </is>
      </c>
      <c r="J5" s="2" t="inlineStr">
        <is>
          <t>2 (EX-02, EX-03)</t>
        </is>
      </c>
      <c r="K5" s="15" t="n"/>
      <c r="L5" s="2" t="inlineStr">
        <is>
          <t>24-Oct-2026</t>
        </is>
      </c>
      <c r="M5" s="2" t="inlineStr"/>
      <c r="N5" s="2" t="inlineStr"/>
    </row>
    <row r="6">
      <c r="A6" s="2" t="n">
        <v>5</v>
      </c>
      <c r="B6" s="2" t="inlineStr">
        <is>
          <t>ThingsCare list</t>
        </is>
      </c>
      <c r="C6" s="2" t="inlineStr">
        <is>
          <t>No active scenario</t>
        </is>
      </c>
      <c r="D6" s="2" t="inlineStr">
        <is>
          <t>0</t>
        </is>
      </c>
      <c r="E6" s="2" t="inlineStr">
        <is>
          <t>GET /api/v1/predictions/{source}/{machine}</t>
        </is>
      </c>
      <c r="F6" s="2" t="inlineStr">
        <is>
          <t>prediction</t>
        </is>
      </c>
      <c r="G6" s="2" t="inlineStr">
        <is>
          <t>Machines in scope - machines with a prediction</t>
        </is>
      </c>
      <c r="H6" s="2" t="inlineStr">
        <is>
          <t>Means not scored yet; does not check activation.</t>
        </is>
      </c>
      <c r="I6" s="2" t="inlineStr">
        <is>
          <t>0</t>
        </is>
      </c>
      <c r="J6" s="2" t="inlineStr">
        <is>
          <t>0</t>
        </is>
      </c>
      <c r="K6" s="15" t="n"/>
      <c r="L6" s="2" t="inlineStr">
        <is>
          <t>24-Oct-2026</t>
        </is>
      </c>
      <c r="M6" s="2" t="inlineStr"/>
      <c r="N6" s="2" t="inlineStr"/>
    </row>
    <row r="7">
      <c r="A7" s="2" t="n">
        <v>6</v>
      </c>
      <c r="B7" s="2" t="inlineStr">
        <is>
          <t>ThingsCare list</t>
        </is>
      </c>
      <c r="C7" s="2" t="inlineStr">
        <is>
          <t>Card ring % / risk chip</t>
        </is>
      </c>
      <c r="D7" s="2" t="inlineStr">
        <is>
          <t>18 ... 76</t>
        </is>
      </c>
      <c r="E7" s="2" t="inlineStr">
        <is>
          <t>GET /api/v1/predictions/{source}/{machine}</t>
        </is>
      </c>
      <c r="F7" s="2" t="inlineStr">
        <is>
          <t>prediction.risk_score</t>
        </is>
      </c>
      <c r="G7" s="2" t="inlineStr">
        <is>
          <t>Risk (Tier 1) - see Formulas sheet</t>
        </is>
      </c>
      <c r="H7" s="2" t="inlineStr">
        <is>
          <t>Chip red when risk &gt;= 60.</t>
        </is>
      </c>
      <c r="I7" s="2" t="inlineStr">
        <is>
          <t>No prediction -&gt; empty ring, '-'</t>
        </is>
      </c>
      <c r="J7" s="2" t="inlineStr">
        <is>
          <t>Use Risk Calculator</t>
        </is>
      </c>
      <c r="K7" s="15" t="n"/>
      <c r="L7" s="2" t="inlineStr">
        <is>
          <t>24-Oct-2026</t>
        </is>
      </c>
      <c r="M7" s="2" t="inlineStr"/>
      <c r="N7" s="2" t="inlineStr"/>
    </row>
    <row r="8">
      <c r="A8" s="2" t="n">
        <v>7</v>
      </c>
      <c r="B8" s="2" t="inlineStr">
        <is>
          <t>ThingsCare list</t>
        </is>
      </c>
      <c r="C8" s="2" t="inlineStr">
        <is>
          <t>Card severity label</t>
        </is>
      </c>
      <c r="D8" s="2" t="inlineStr">
        <is>
          <t>NONE / HIGH</t>
        </is>
      </c>
      <c r="E8" s="2" t="inlineStr">
        <is>
          <t>GET /api/v1/predictions/{source}/{machine}</t>
        </is>
      </c>
      <c r="F8" s="2" t="inlineStr">
        <is>
          <t>prediction.severity</t>
        </is>
      </c>
      <c r="G8" s="2" t="inlineStr">
        <is>
          <t>Severity rule - see Formulas sheet</t>
        </is>
      </c>
      <c r="H8" s="2" t="inlineStr">
        <is>
          <t>Card colour follows severity.</t>
        </is>
      </c>
      <c r="I8" s="2" t="inlineStr">
        <is>
          <t>No prediction -&gt; grey card</t>
        </is>
      </c>
      <c r="J8" s="2" t="inlineStr">
        <is>
          <t>HIGH needs &gt;= 1 abnormal and risk 60-84</t>
        </is>
      </c>
      <c r="K8" s="15" t="n"/>
      <c r="L8" s="2" t="inlineStr">
        <is>
          <t>24-Oct-2026</t>
        </is>
      </c>
      <c r="M8" s="2" t="inlineStr"/>
      <c r="N8" s="2" t="inlineStr"/>
    </row>
    <row r="9">
      <c r="A9" s="2" t="n">
        <v>8</v>
      </c>
      <c r="B9" s="2" t="inlineStr">
        <is>
          <t>ThingsCare list</t>
        </is>
      </c>
      <c r="C9" s="2" t="inlineStr">
        <is>
          <t>Online / Offline badge</t>
        </is>
      </c>
      <c r="D9" s="2" t="inlineStr">
        <is>
          <t>Online</t>
        </is>
      </c>
      <c r="E9" s="2" t="inlineStr">
        <is>
          <t>GET /api/v1/device-health</t>
        </is>
      </c>
      <c r="F9" s="2" t="inlineStr">
        <is>
          <t>device_link_health</t>
        </is>
      </c>
      <c r="G9" s="2" t="inlineStr">
        <is>
          <t>Latest check in 7 days: 'dark' -&gt; Offline, else Online</t>
        </is>
      </c>
      <c r="H9" s="2" t="inlineStr">
        <is>
          <t>First device found per machine.</t>
        </is>
      </c>
      <c r="I9" s="2" t="inlineStr">
        <is>
          <t>No check -&gt; no badge</t>
        </is>
      </c>
      <c r="J9" s="2" t="inlineStr">
        <is>
          <t>Online</t>
        </is>
      </c>
      <c r="K9" s="15" t="n"/>
      <c r="L9" s="2" t="inlineStr">
        <is>
          <t>24-Oct-2026</t>
        </is>
      </c>
      <c r="M9" s="2" t="inlineStr"/>
      <c r="N9" s="2" t="inlineStr"/>
    </row>
    <row r="10">
      <c r="A10" s="2" t="n">
        <v>9</v>
      </c>
      <c r="B10" s="2" t="inlineStr">
        <is>
          <t>ThingsCare list</t>
        </is>
      </c>
      <c r="C10" s="2" t="inlineStr">
        <is>
          <t>Confidence chip</t>
        </is>
      </c>
      <c r="D10" s="2" t="inlineStr">
        <is>
          <t>full</t>
        </is>
      </c>
      <c r="E10" s="2" t="inlineStr">
        <is>
          <t>GET /api/v1/predictions/{source}/{machine}</t>
        </is>
      </c>
      <c r="F10" s="2" t="inlineStr">
        <is>
          <t>prediction.confidence</t>
        </is>
      </c>
      <c r="G10" s="2" t="inlineStr">
        <is>
          <t>none / partial / full by signals scored</t>
        </is>
      </c>
      <c r="H10" s="2" t="inlineStr"/>
      <c r="I10" s="2" t="inlineStr">
        <is>
          <t>No prediction -&gt; n/a</t>
        </is>
      </c>
      <c r="J10" s="2" t="inlineStr">
        <is>
          <t>full</t>
        </is>
      </c>
      <c r="K10" s="15" t="n"/>
      <c r="L10" s="2" t="inlineStr">
        <is>
          <t>24-Oct-2026</t>
        </is>
      </c>
      <c r="M10" s="2" t="inlineStr"/>
      <c r="N10" s="2" t="inlineStr"/>
    </row>
    <row r="11">
      <c r="A11" s="2" t="n">
        <v>10</v>
      </c>
      <c r="B11" s="2" t="inlineStr">
        <is>
          <t>ThingsCare list</t>
        </is>
      </c>
      <c r="C11" s="2" t="inlineStr">
        <is>
          <t>Bell count</t>
        </is>
      </c>
      <c r="D11" s="2" t="inlineStr">
        <is>
          <t>0 / 1</t>
        </is>
      </c>
      <c r="E11" s="2" t="inlineStr">
        <is>
          <t>GET /api/v1/predictions/{source}/{machine}</t>
        </is>
      </c>
      <c r="F11" s="2" t="inlineStr">
        <is>
          <t>prediction.abnormal_count</t>
        </is>
      </c>
      <c r="G11" s="2" t="inlineStr">
        <is>
          <t>COUNT(signals with ABS(z) &gt;= 1.5)</t>
        </is>
      </c>
      <c r="H11" s="2" t="inlineStr">
        <is>
          <t>Amber when &gt;= 1. Not the alert count.</t>
        </is>
      </c>
      <c r="I11" s="2" t="inlineStr">
        <is>
          <t>No prediction -&gt; 0</t>
        </is>
      </c>
      <c r="J11" s="2" t="inlineStr">
        <is>
          <t>EX-02 = 1, EX-03 = 1</t>
        </is>
      </c>
      <c r="K11" s="15" t="n"/>
      <c r="L11" s="2" t="inlineStr">
        <is>
          <t>24-Oct-2026</t>
        </is>
      </c>
      <c r="M11" s="2" t="inlineStr"/>
      <c r="N11" s="2" t="inlineStr"/>
    </row>
    <row r="12">
      <c r="A12" s="2" t="n">
        <v>11</v>
      </c>
      <c r="B12" s="2" t="inlineStr">
        <is>
          <t>ThingsCare list</t>
        </is>
      </c>
      <c r="C12" s="2" t="inlineStr">
        <is>
          <t>Pagination</t>
        </is>
      </c>
      <c r="D12" s="2" t="inlineStr">
        <is>
          <t>Page 1 of 2</t>
        </is>
      </c>
      <c r="E12" s="2" t="inlineStr">
        <is>
          <t>NA</t>
        </is>
      </c>
      <c r="F12" s="2" t="inlineStr">
        <is>
          <t>NA</t>
        </is>
      </c>
      <c r="G12" s="2" t="inlineStr">
        <is>
          <t>ROUNDUP(machines / 12)</t>
        </is>
      </c>
      <c r="H12" s="2" t="inlineStr">
        <is>
          <t>Filter change -&gt; page 1.</t>
        </is>
      </c>
      <c r="I12" s="2" t="inlineStr">
        <is>
          <t>0 -&gt; Page 1 of 1</t>
        </is>
      </c>
      <c r="J12" s="2" t="inlineStr">
        <is>
          <t>2 pages</t>
        </is>
      </c>
      <c r="K12" s="15" t="n"/>
      <c r="L12" s="2" t="inlineStr">
        <is>
          <t>24-Oct-2026</t>
        </is>
      </c>
      <c r="M12" s="2" t="inlineStr"/>
      <c r="N12" s="2" t="inlineStr"/>
    </row>
    <row r="13">
      <c r="A13" s="2" t="n">
        <v>12</v>
      </c>
      <c r="B13" s="2" t="inlineStr">
        <is>
          <t>ThingsCare list</t>
        </is>
      </c>
      <c r="C13" s="2" t="inlineStr">
        <is>
          <t>Filters / Selected equipment</t>
        </is>
      </c>
      <c r="D13" s="2" t="inlineStr">
        <is>
          <t>All matching equipment</t>
        </is>
      </c>
      <c r="E13" s="2" t="inlineStr">
        <is>
          <t>equipment, plants, device-health</t>
        </is>
      </c>
      <c r="F13" s="2" t="inlineStr">
        <is>
          <t>NA</t>
        </is>
      </c>
      <c r="G13" s="2" t="inlineStr">
        <is>
          <t>NA</t>
        </is>
      </c>
      <c r="H13" s="2" t="inlineStr">
        <is>
          <t>Site list includes retired sites.</t>
        </is>
      </c>
      <c r="I13" s="2" t="inlineStr">
        <is>
          <t>No match message</t>
        </is>
      </c>
      <c r="J13" s="2" t="inlineStr">
        <is>
          <t>Numbers follow filters</t>
        </is>
      </c>
      <c r="K13" s="15" t="n"/>
      <c r="L13" s="2" t="inlineStr">
        <is>
          <t>24-Oct-2026</t>
        </is>
      </c>
      <c r="M13" s="2" t="inlineStr"/>
      <c r="N13" s="2" t="inlineStr"/>
    </row>
    <row r="14">
      <c r="A14" s="2" t="n">
        <v>13</v>
      </c>
      <c r="B14" s="2" t="inlineStr">
        <is>
          <t>ThingsCare detail</t>
        </is>
      </c>
      <c r="C14" s="2" t="inlineStr">
        <is>
          <t>Machine name + source/ID</t>
        </is>
      </c>
      <c r="D14" s="2" t="inlineStr">
        <is>
          <t>Volvo EC210D / ta-2.0/EX-08</t>
        </is>
      </c>
      <c r="E14" s="2" t="inlineStr">
        <is>
          <t>GET /api/v1/equipment</t>
        </is>
      </c>
      <c r="F14" s="2" t="inlineStr">
        <is>
          <t>equipment_profile</t>
        </is>
      </c>
      <c r="G14" s="2" t="inlineStr">
        <is>
          <t>NA</t>
        </is>
      </c>
      <c r="H14" s="2" t="inlineStr"/>
      <c r="I14" s="2" t="inlineStr"/>
      <c r="J14" s="2" t="inlineStr">
        <is>
          <t>Name and ID of clicked machine</t>
        </is>
      </c>
      <c r="K14" s="15" t="n"/>
      <c r="L14" s="2" t="inlineStr">
        <is>
          <t>24-Oct-2026</t>
        </is>
      </c>
      <c r="M14" s="2" t="inlineStr"/>
      <c r="N14" s="2" t="inlineStr"/>
    </row>
    <row r="15">
      <c r="A15" s="2" t="n">
        <v>14</v>
      </c>
      <c r="B15" s="2" t="inlineStr">
        <is>
          <t>ThingsCare detail</t>
        </is>
      </c>
      <c r="C15" s="2" t="inlineStr">
        <is>
          <t>Score now button</t>
        </is>
      </c>
      <c r="D15" s="2" t="inlineStr">
        <is>
          <t>Popup: scored / skipped / raised</t>
        </is>
      </c>
      <c r="E15" s="2" t="inlineStr">
        <is>
          <t>POST /api/v1/predictions/{source}/{machine}/score</t>
        </is>
      </c>
      <c r="F15" s="2" t="inlineStr">
        <is>
          <t>prediction</t>
        </is>
      </c>
      <c r="G15" s="2" t="inlineStr">
        <is>
          <t>Runs Tier 1 / influence scoring now</t>
        </is>
      </c>
      <c r="H15" s="2" t="inlineStr">
        <is>
          <t>Writes new prediction rows; may raise work orders.</t>
        </is>
      </c>
      <c r="I15" s="2" t="inlineStr">
        <is>
          <t>No active scenario -&gt; 0 scored</t>
        </is>
      </c>
      <c r="J15" s="2" t="inlineStr">
        <is>
          <t>5 scored for EX-08</t>
        </is>
      </c>
      <c r="K15" s="15" t="n"/>
      <c r="L15" s="2" t="inlineStr">
        <is>
          <t>24-Oct-2026</t>
        </is>
      </c>
      <c r="M15" s="2" t="inlineStr"/>
      <c r="N15" s="2" t="inlineStr"/>
    </row>
    <row r="16">
      <c r="A16" s="2" t="n">
        <v>15</v>
      </c>
      <c r="B16" s="2" t="inlineStr">
        <is>
          <t>ThingsCare detail</t>
        </is>
      </c>
      <c r="C16" s="2" t="inlineStr">
        <is>
          <t>Create work order button</t>
        </is>
      </c>
      <c r="D16" s="2" t="inlineStr">
        <is>
          <t>-</t>
        </is>
      </c>
      <c r="E16" s="2" t="inlineStr">
        <is>
          <t>NA</t>
        </is>
      </c>
      <c r="F16" s="2" t="inlineStr">
        <is>
          <t>NA</t>
        </is>
      </c>
      <c r="G16" s="2" t="inlineStr">
        <is>
          <t>NA</t>
        </is>
      </c>
      <c r="H16" s="2" t="inlineStr">
        <is>
          <t>Opens Work Orders page; machine not pre-selected.</t>
        </is>
      </c>
      <c r="I16" s="2" t="inlineStr"/>
      <c r="J16" s="2" t="inlineStr">
        <is>
          <t>Work Orders page opens</t>
        </is>
      </c>
      <c r="K16" s="15" t="n"/>
      <c r="L16" s="2" t="inlineStr">
        <is>
          <t>24-Oct-2026</t>
        </is>
      </c>
      <c r="M16" s="2" t="inlineStr"/>
      <c r="N16" s="2" t="inlineStr"/>
    </row>
    <row r="17">
      <c r="A17" s="2" t="n">
        <v>16</v>
      </c>
      <c r="B17" s="2" t="inlineStr">
        <is>
          <t>ThingsCare detail</t>
        </is>
      </c>
      <c r="C17" s="2" t="inlineStr">
        <is>
          <t>Recommendations</t>
        </is>
      </c>
      <c r="D17" s="2" t="inlineStr">
        <is>
          <t>Not analysed yet</t>
        </is>
      </c>
      <c r="E17" s="2" t="inlineStr">
        <is>
          <t>Recommendation evidence + frame APIs</t>
        </is>
      </c>
      <c r="F17" s="2" t="inlineStr">
        <is>
          <t>rec tables</t>
        </is>
      </c>
      <c r="G17" s="2" t="inlineStr">
        <is>
          <t>NA</t>
        </is>
      </c>
      <c r="H17" s="2" t="inlineStr">
        <is>
          <t>Analyse now runs it.</t>
        </is>
      </c>
      <c r="I17" s="2" t="inlineStr">
        <is>
          <t>Not analysed yet</t>
        </is>
      </c>
      <c r="J17" s="2" t="inlineStr">
        <is>
          <t>Recommendation or clear reason</t>
        </is>
      </c>
      <c r="K17" s="15" t="n"/>
      <c r="L17" s="2" t="inlineStr">
        <is>
          <t>24-Oct-2026</t>
        </is>
      </c>
      <c r="M17" s="2" t="inlineStr"/>
      <c r="N17" s="2" t="inlineStr"/>
    </row>
    <row r="18">
      <c r="A18" s="2" t="n">
        <v>17</v>
      </c>
      <c r="B18" s="2" t="inlineStr">
        <is>
          <t>ThingsCare detail</t>
        </is>
      </c>
      <c r="C18" s="2" t="inlineStr">
        <is>
          <t>Baselines panel</t>
        </is>
      </c>
      <c r="D18" s="2" t="inlineStr">
        <is>
          <t>mean / std dev / samples / coverage</t>
        </is>
      </c>
      <c r="E18" s="2" t="inlineStr">
        <is>
          <t>GET /api/v1/predictions/{source}/{machine}/baselines</t>
        </is>
      </c>
      <c r="F18" s="2" t="inlineStr">
        <is>
          <t>prediction_baseline</t>
        </is>
      </c>
      <c r="G18" s="2" t="inlineStr">
        <is>
          <t>Mean = AVERAGE(30 days); Std dev = STDEV; Samples = COUNT</t>
        </is>
      </c>
      <c r="H18" s="2" t="inlineStr">
        <is>
          <t>Recompute rebuilds from last 30 days.</t>
        </is>
      </c>
      <c r="I18" s="2" t="inlineStr">
        <is>
          <t>No baseline -&gt; empty message</t>
        </is>
      </c>
      <c r="J18" s="2" t="inlineStr">
        <is>
          <t>Use Baseline calculator</t>
        </is>
      </c>
      <c r="K18" s="15" t="n"/>
      <c r="L18" s="2" t="inlineStr">
        <is>
          <t>24-Oct-2026</t>
        </is>
      </c>
      <c r="M18" s="2" t="inlineStr"/>
      <c r="N18" s="2" t="inlineStr"/>
    </row>
    <row r="19">
      <c r="A19" s="2" t="n">
        <v>18</v>
      </c>
      <c r="B19" s="2" t="inlineStr">
        <is>
          <t>ThingsCare detail</t>
        </is>
      </c>
      <c r="C19" s="2" t="inlineStr">
        <is>
          <t>Root-cause diagnosis</t>
        </is>
      </c>
      <c r="D19" s="2" t="inlineStr">
        <is>
          <t>not enough readings</t>
        </is>
      </c>
      <c r="E19" s="2" t="inlineStr">
        <is>
          <t>Causal chain APIs</t>
        </is>
      </c>
      <c r="F19" s="2" t="inlineStr">
        <is>
          <t>causal_chain</t>
        </is>
      </c>
      <c r="G19" s="2" t="inlineStr">
        <is>
          <t>Influence chain per stage</t>
        </is>
      </c>
      <c r="H19" s="2" t="inlineStr">
        <is>
          <t>Needs a published chain for the class and enough readings.</t>
        </is>
      </c>
      <c r="I19" s="2" t="inlineStr">
        <is>
          <t>not enough readings / no chain</t>
        </is>
      </c>
      <c r="J19" s="2" t="inlineStr"/>
      <c r="K19" s="15" t="n"/>
      <c r="L19" s="2" t="inlineStr">
        <is>
          <t>24-Oct-2026</t>
        </is>
      </c>
      <c r="M19" s="2" t="inlineStr"/>
      <c r="N19" s="2" t="inlineStr"/>
    </row>
    <row r="20">
      <c r="A20" s="2" t="n">
        <v>19</v>
      </c>
      <c r="B20" s="2" t="inlineStr">
        <is>
          <t>ThingsCare detail</t>
        </is>
      </c>
      <c r="C20" s="2" t="inlineStr">
        <is>
          <t>Scenario card ring</t>
        </is>
      </c>
      <c r="D20" s="2" t="inlineStr">
        <is>
          <t>62% (coolant-drift)</t>
        </is>
      </c>
      <c r="E20" s="2" t="inlineStr">
        <is>
          <t>GET /api/v1/predictions/{source}/{machine}</t>
        </is>
      </c>
      <c r="F20" s="2" t="inlineStr">
        <is>
          <t>prediction.risk_score</t>
        </is>
      </c>
      <c r="G20" s="2" t="inlineStr">
        <is>
          <t>Risk (Tier 1)</t>
        </is>
      </c>
      <c r="H20" s="2" t="inlineStr">
        <is>
          <t>One card per active scenario.</t>
        </is>
      </c>
      <c r="I20" s="2" t="inlineStr">
        <is>
          <t>No prediction -&gt; message</t>
        </is>
      </c>
      <c r="J20" s="2" t="inlineStr">
        <is>
          <t>Use Risk Calculator</t>
        </is>
      </c>
      <c r="K20" s="15" t="n"/>
      <c r="L20" s="2" t="inlineStr">
        <is>
          <t>24-Oct-2026</t>
        </is>
      </c>
      <c r="M20" s="2" t="inlineStr"/>
      <c r="N20" s="2" t="inlineStr"/>
    </row>
    <row r="21">
      <c r="A21" s="2" t="n">
        <v>20</v>
      </c>
      <c r="B21" s="2" t="inlineStr">
        <is>
          <t>ThingsCare detail</t>
        </is>
      </c>
      <c r="C21" s="2" t="inlineStr">
        <is>
          <t>Scenario severity / confidence / abnormal</t>
        </is>
      </c>
      <c r="D21" s="2" t="inlineStr">
        <is>
          <t>none / full / 0 abnormal</t>
        </is>
      </c>
      <c r="E21" s="2" t="inlineStr">
        <is>
          <t>GET /api/v1/predictions/{source}/{machine}</t>
        </is>
      </c>
      <c r="F21" s="2" t="inlineStr">
        <is>
          <t>prediction</t>
        </is>
      </c>
      <c r="G21" s="2" t="inlineStr">
        <is>
          <t>See Formulas sheet</t>
        </is>
      </c>
      <c r="H21" s="2" t="inlineStr"/>
      <c r="I21" s="2" t="inlineStr"/>
      <c r="J21" s="2" t="inlineStr"/>
      <c r="K21" s="15" t="n"/>
      <c r="L21" s="2" t="inlineStr">
        <is>
          <t>24-Oct-2026</t>
        </is>
      </c>
      <c r="M21" s="2" t="inlineStr"/>
      <c r="N21" s="2" t="inlineStr"/>
    </row>
    <row r="22">
      <c r="A22" s="2" t="n">
        <v>21</v>
      </c>
      <c r="B22" s="2" t="inlineStr">
        <is>
          <t>ThingsCare detail</t>
        </is>
      </c>
      <c r="C22" s="2" t="inlineStr">
        <is>
          <t>Signal row (name, value, state)</t>
        </is>
      </c>
      <c r="D22" s="2" t="inlineStr">
        <is>
          <t>engine_coolant_temperature 84.64 normal</t>
        </is>
      </c>
      <c r="E22" s="2" t="inlineStr">
        <is>
          <t>GET /api/v1/predictions/{source}/{machine}</t>
        </is>
      </c>
      <c r="F22" s="2" t="inlineStr">
        <is>
          <t>prediction.signals</t>
        </is>
      </c>
      <c r="G22" s="2" t="inlineStr">
        <is>
          <t>State from ABS(z) vs 1.5 / 2.5</t>
        </is>
      </c>
      <c r="H22" s="2" t="inlineStr">
        <is>
          <t>Value = latest reading used for the score.</t>
        </is>
      </c>
      <c r="I22" s="2" t="inlineStr">
        <is>
          <t>unscored</t>
        </is>
      </c>
      <c r="J22" s="2" t="inlineStr">
        <is>
          <t>Check with Reverse check</t>
        </is>
      </c>
      <c r="K22" s="15" t="n"/>
      <c r="L22" s="2" t="inlineStr">
        <is>
          <t>24-Oct-2026</t>
        </is>
      </c>
      <c r="M22" s="2" t="inlineStr"/>
      <c r="N22" s="2" t="inlineStr"/>
    </row>
    <row r="23">
      <c r="A23" s="2" t="n">
        <v>22</v>
      </c>
      <c r="B23" s="2" t="inlineStr">
        <is>
          <t>ThingsCare detail</t>
        </is>
      </c>
      <c r="C23" s="2" t="inlineStr">
        <is>
          <t>Line graph</t>
        </is>
      </c>
      <c r="D23" s="2" t="inlineStr">
        <is>
          <t>risk trend</t>
        </is>
      </c>
      <c r="E23" s="2" t="inlineStr">
        <is>
          <t>GET .../{scenario}/history?take=20</t>
        </is>
      </c>
      <c r="F23" s="2" t="inlineStr">
        <is>
          <t>prediction</t>
        </is>
      </c>
      <c r="G23" s="2" t="inlineStr">
        <is>
          <t>Last 20 risk scores</t>
        </is>
      </c>
      <c r="H23" s="2" t="inlineStr">
        <is>
          <t>Shown when &gt;= 2 points.</t>
        </is>
      </c>
      <c r="I23" s="2" t="inlineStr">
        <is>
          <t>Hidden with &lt; 2</t>
        </is>
      </c>
      <c r="J23" s="2" t="inlineStr">
        <is>
          <t>Last point = ring value</t>
        </is>
      </c>
      <c r="K23" s="15" t="n"/>
      <c r="L23" s="2" t="inlineStr">
        <is>
          <t>24-Oct-2026</t>
        </is>
      </c>
      <c r="M23" s="2" t="inlineStr"/>
      <c r="N23" s="2" t="inlineStr"/>
    </row>
    <row r="24">
      <c r="A24" s="2" t="n">
        <v>23</v>
      </c>
      <c r="B24" s="2" t="inlineStr">
        <is>
          <t>ThingsCare detail</t>
        </is>
      </c>
      <c r="C24" s="2" t="inlineStr">
        <is>
          <t>Window line</t>
        </is>
      </c>
      <c r="D24" s="2" t="inlineStr">
        <is>
          <t>30d window - tier1@1 - time</t>
        </is>
      </c>
      <c r="E24" s="2" t="inlineStr">
        <is>
          <t>GET /api/v1/predictions/{source}/{machine}</t>
        </is>
      </c>
      <c r="F24" s="2" t="inlineStr">
        <is>
          <t>prediction</t>
        </is>
      </c>
      <c r="G24" s="2" t="inlineStr">
        <is>
          <t>windowDays / modelRef / computedAt</t>
        </is>
      </c>
      <c r="H24" s="2" t="inlineStr"/>
      <c r="I24" s="2" t="inlineStr"/>
      <c r="J24" s="2" t="inlineStr"/>
      <c r="K24" s="15" t="n"/>
      <c r="L24" s="2" t="inlineStr">
        <is>
          <t>24-Oct-2026</t>
        </is>
      </c>
      <c r="M24" s="2" t="inlineStr"/>
      <c r="N24" s="2" t="inlineStr"/>
    </row>
    <row r="25">
      <c r="A25" s="2" t="n">
        <v>24</v>
      </c>
      <c r="B25" s="2" t="inlineStr">
        <is>
          <t>ThingsCare detail</t>
        </is>
      </c>
      <c r="C25" s="2" t="inlineStr">
        <is>
          <t>Maintenance history</t>
        </is>
      </c>
      <c r="D25" s="2" t="inlineStr">
        <is>
          <t>No work orders yet</t>
        </is>
      </c>
      <c r="E25" s="2" t="inlineStr">
        <is>
          <t>GET /api/v1/work-orders?equipment={machine}</t>
        </is>
      </c>
      <c r="F25" s="2" t="inlineStr">
        <is>
          <t>work_order</t>
        </is>
      </c>
      <c r="G25" s="2" t="inlineStr">
        <is>
          <t>List</t>
        </is>
      </c>
      <c r="H25" s="2" t="inlineStr"/>
      <c r="I25" s="2" t="inlineStr">
        <is>
          <t>No work orders message</t>
        </is>
      </c>
      <c r="J25" s="2" t="inlineStr"/>
      <c r="K25" s="15" t="n"/>
      <c r="L25" s="2" t="inlineStr">
        <is>
          <t>24-Oct-2026</t>
        </is>
      </c>
      <c r="M25" s="2" t="inlineStr"/>
      <c r="N25" s="2" t="inlineStr"/>
    </row>
  </sheetData>
  <autoFilter ref="A1:N25"/>
  <conditionalFormatting sqref="K2:K25">
    <cfRule type="expression" priority="1" dxfId="2">
      <formula>$K2="Pass"</formula>
    </cfRule>
    <cfRule type="expression" priority="2" dxfId="1">
      <formula>$K2="Fail"</formula>
    </cfRule>
    <cfRule type="expression" priority="3" dxfId="0">
      <formula>$K2="Blocked"</formula>
    </cfRule>
  </conditionalFormatting>
  <dataValidations count="1">
    <dataValidation sqref="K2:K25" showDropDown="0" showInputMessage="0" showErrorMessage="0" allowBlank="0" type="list">
      <formula1>"Pass,Fail,Blocked,Not run"</formula1>
    </dataValidation>
  </dataValidations>
  <pageMargins left="0.7" right="0.7" top="0.75" bottom="0.75" header="0.3" footer="0.3"/>
  <pageSetup orientation="portrait" horizontalDpi="4294967295" verticalDpi="4294967295"/>
</worksheet>
</file>

<file path=xl/worksheets/sheet5.xml><?xml version="1.0" encoding="utf-8"?>
<worksheet xmlns="http://schemas.openxmlformats.org/spreadsheetml/2006/main">
  <sheetPr>
    <outlinePr summaryBelow="1" summaryRight="1"/>
    <pageSetUpPr/>
  </sheetPr>
  <dimension ref="A1:I68"/>
  <sheetViews>
    <sheetView workbookViewId="0">
      <pane ySplit="1" topLeftCell="A2" activePane="bottomLeft" state="frozen"/>
      <selection pane="bottomLeft" activeCell="D20" sqref="D20"/>
    </sheetView>
  </sheetViews>
  <sheetFormatPr baseColWidth="8" defaultRowHeight="15"/>
  <cols>
    <col width="7" customWidth="1" min="1" max="1"/>
    <col width="56" customWidth="1" min="3" max="3"/>
    <col width="52" customWidth="1" min="4" max="4"/>
    <col width="30" customWidth="1" min="5" max="5"/>
    <col width="11" customWidth="1" min="6" max="6"/>
    <col width="12" customWidth="1" min="7" max="7"/>
    <col width="14" customWidth="1" min="8" max="8"/>
    <col width="30" customWidth="1" min="9" max="9"/>
  </cols>
  <sheetData>
    <row r="1" ht="30" customHeight="1">
      <c r="A1" s="1" t="inlineStr">
        <is>
          <t>ID</t>
        </is>
      </c>
      <c r="B1" s="1" t="inlineStr">
        <is>
          <t>Page</t>
        </is>
      </c>
      <c r="C1" s="1" t="inlineStr">
        <is>
          <t>Steps</t>
        </is>
      </c>
      <c r="D1" s="1" t="inlineStr">
        <is>
          <t>Expected result</t>
        </is>
      </c>
      <c r="E1" s="1" t="inlineStr">
        <is>
          <t>Actual result</t>
        </is>
      </c>
      <c r="F1" s="1" t="inlineStr">
        <is>
          <t>Status</t>
        </is>
      </c>
      <c r="G1" s="1" t="inlineStr">
        <is>
          <t>Test Date</t>
        </is>
      </c>
      <c r="H1" s="1" t="inlineStr">
        <is>
          <t>Role / Login</t>
        </is>
      </c>
      <c r="I1" s="1" t="inlineStr">
        <is>
          <t>Remark</t>
        </is>
      </c>
    </row>
    <row r="2">
      <c r="A2" s="2" t="inlineStr">
        <is>
          <t>T1</t>
        </is>
      </c>
      <c r="B2" s="2" t="inlineStr">
        <is>
          <t>List</t>
        </is>
      </c>
      <c r="C2" s="2" t="inlineStr">
        <is>
          <t>Open ThingsCare, count cards on page 1 and page 2</t>
        </is>
      </c>
      <c r="D2" s="2" t="inlineStr">
        <is>
          <t>12 + 2 = 14, equals Machines in scope</t>
        </is>
      </c>
      <c r="E2" s="15" t="inlineStr"/>
      <c r="F2" s="15" t="inlineStr">
        <is>
          <t>Pass</t>
        </is>
      </c>
      <c r="G2" s="2" t="inlineStr">
        <is>
          <t>24-Oct-2026</t>
        </is>
      </c>
      <c r="H2" s="2" t="inlineStr"/>
      <c r="I2" s="15" t="inlineStr"/>
    </row>
    <row r="3">
      <c r="A3" s="2" t="inlineStr">
        <is>
          <t>T2</t>
        </is>
      </c>
      <c r="B3" s="2" t="inlineStr">
        <is>
          <t>List</t>
        </is>
      </c>
      <c r="C3" s="2" t="inlineStr">
        <is>
          <t>Fill Fleet Summary sheet with every card risk</t>
        </is>
      </c>
      <c r="D3" s="2" t="inlineStr">
        <is>
          <t>Mean risk on sheet equals screen (60)</t>
        </is>
      </c>
      <c r="E3" s="15" t="inlineStr"/>
      <c r="F3" s="15" t="n"/>
      <c r="G3" s="2" t="inlineStr">
        <is>
          <t>24-Oct-2026</t>
        </is>
      </c>
      <c r="H3" s="2" t="inlineStr"/>
      <c r="I3" s="15" t="inlineStr"/>
    </row>
    <row r="4">
      <c r="A4" s="2" t="inlineStr">
        <is>
          <t>T3</t>
        </is>
      </c>
      <c r="B4" s="2" t="inlineStr">
        <is>
          <t>List</t>
        </is>
      </c>
      <c r="C4" s="2" t="inlineStr">
        <is>
          <t>Count cards labelled HIGH or CRITICAL</t>
        </is>
      </c>
      <c r="D4" s="2" t="inlineStr">
        <is>
          <t>Equals High / critical (2)</t>
        </is>
      </c>
      <c r="E4" s="15" t="inlineStr"/>
      <c r="F4" s="15" t="n"/>
      <c r="G4" s="2" t="inlineStr">
        <is>
          <t>24-Oct-2026</t>
        </is>
      </c>
      <c r="H4" s="2" t="inlineStr"/>
      <c r="I4" s="15" t="inlineStr"/>
    </row>
    <row r="5" ht="24" customHeight="1">
      <c r="A5" s="2" t="inlineStr">
        <is>
          <t>T4</t>
        </is>
      </c>
      <c r="B5" s="2" t="inlineStr">
        <is>
          <t>List</t>
        </is>
      </c>
      <c r="C5" s="2" t="inlineStr">
        <is>
          <t>Open EX-02 detail, enter each signal into Risk Calculator (value, mean, std dev, samples from Baselines)</t>
        </is>
      </c>
      <c r="D5" s="2" t="inlineStr">
        <is>
          <t>Calculator risk and severity equal the card</t>
        </is>
      </c>
      <c r="E5" s="15" t="inlineStr"/>
      <c r="F5" s="15" t="n"/>
      <c r="G5" s="2" t="inlineStr">
        <is>
          <t>24-Oct-2026</t>
        </is>
      </c>
      <c r="H5" s="2" t="inlineStr"/>
      <c r="I5" s="15" t="inlineStr"/>
    </row>
    <row r="6">
      <c r="A6" s="2" t="inlineStr">
        <is>
          <t>T5</t>
        </is>
      </c>
      <c r="B6" s="2" t="inlineStr">
        <is>
          <t>List</t>
        </is>
      </c>
      <c r="C6" s="2" t="inlineStr">
        <is>
          <t>Open EX-06 (64, NONE) detail, enter signals into Risk Calculator</t>
        </is>
      </c>
      <c r="D6" s="2" t="inlineStr">
        <is>
          <t>If all ABS(z) &lt; 1.5 the risk must be &lt;= 60; 64 confirms Issue 1</t>
        </is>
      </c>
      <c r="E6" s="15" t="inlineStr"/>
      <c r="F6" s="15" t="n"/>
      <c r="G6" s="2" t="inlineStr">
        <is>
          <t>24-Oct-2026</t>
        </is>
      </c>
      <c r="H6" s="2" t="inlineStr"/>
      <c r="I6" s="15" t="inlineStr"/>
    </row>
    <row r="7">
      <c r="A7" s="2" t="inlineStr">
        <is>
          <t>T6</t>
        </is>
      </c>
      <c r="B7" s="2" t="inlineStr">
        <is>
          <t>List</t>
        </is>
      </c>
      <c r="C7" s="2" t="inlineStr">
        <is>
          <t>Filters -&gt; one site</t>
        </is>
      </c>
      <c r="D7" s="2" t="inlineStr">
        <is>
          <t>All four numbers and cards show that site only; page 1</t>
        </is>
      </c>
      <c r="E7" s="15" t="inlineStr"/>
      <c r="F7" s="15" t="n"/>
      <c r="G7" s="2" t="inlineStr">
        <is>
          <t>24-Oct-2026</t>
        </is>
      </c>
      <c r="H7" s="2" t="inlineStr"/>
      <c r="I7" s="15" t="inlineStr"/>
    </row>
    <row r="8">
      <c r="A8" s="2" t="inlineStr">
        <is>
          <t>T7</t>
        </is>
      </c>
      <c r="B8" s="2" t="inlineStr">
        <is>
          <t>List</t>
        </is>
      </c>
      <c r="C8" s="2" t="inlineStr">
        <is>
          <t>Filters -&gt; Offline</t>
        </is>
      </c>
      <c r="D8" s="2" t="inlineStr">
        <is>
          <t>No cards today; numbers 0 / - / 0 / 0</t>
        </is>
      </c>
      <c r="E8" s="15" t="inlineStr"/>
      <c r="F8" s="15" t="n"/>
      <c r="G8" s="2" t="inlineStr">
        <is>
          <t>24-Oct-2026</t>
        </is>
      </c>
      <c r="H8" s="2" t="inlineStr"/>
      <c r="I8" s="15" t="inlineStr"/>
    </row>
    <row r="9">
      <c r="A9" s="2" t="inlineStr">
        <is>
          <t>T8</t>
        </is>
      </c>
      <c r="B9" s="2" t="inlineStr">
        <is>
          <t>List</t>
        </is>
      </c>
      <c r="C9" s="2" t="inlineStr">
        <is>
          <t>Search "EX-13"</t>
        </is>
      </c>
      <c r="D9" s="2" t="inlineStr">
        <is>
          <t>One card: CASE CX210C, 59 risk</t>
        </is>
      </c>
      <c r="E9" s="15" t="inlineStr"/>
      <c r="F9" s="15" t="n"/>
      <c r="G9" s="2" t="inlineStr">
        <is>
          <t>24-Oct-2026</t>
        </is>
      </c>
      <c r="H9" s="2" t="inlineStr"/>
      <c r="I9" s="15" t="inlineStr"/>
    </row>
    <row r="10">
      <c r="A10" s="2" t="inlineStr">
        <is>
          <t>T9</t>
        </is>
      </c>
      <c r="B10" s="2" t="inlineStr">
        <is>
          <t>List</t>
        </is>
      </c>
      <c r="C10" s="2" t="inlineStr">
        <is>
          <t>Selected equipment -&gt; Hitachi ZX200-5G</t>
        </is>
      </c>
      <c r="D10" s="2" t="inlineStr">
        <is>
          <t>One card, HIGH, 73, bell 1</t>
        </is>
      </c>
      <c r="E10" s="15" t="inlineStr"/>
      <c r="F10" s="15" t="n"/>
      <c r="G10" s="2" t="inlineStr">
        <is>
          <t>24-Oct-2026</t>
        </is>
      </c>
      <c r="H10" s="2" t="inlineStr"/>
      <c r="I10" s="15" t="inlineStr"/>
    </row>
    <row r="11">
      <c r="A11" s="2" t="inlineStr">
        <is>
          <t>T10</t>
        </is>
      </c>
      <c r="B11" s="2" t="inlineStr">
        <is>
          <t>List</t>
        </is>
      </c>
      <c r="C11" s="2" t="inlineStr">
        <is>
          <t>Retire a site in Administration, reopen Filters</t>
        </is>
      </c>
      <c r="D11" s="2" t="inlineStr">
        <is>
          <t>Retired site not offered (today it still is)</t>
        </is>
      </c>
      <c r="E11" s="15" t="inlineStr"/>
      <c r="F11" s="15" t="n"/>
      <c r="G11" s="2" t="inlineStr">
        <is>
          <t>24-Oct-2026</t>
        </is>
      </c>
      <c r="H11" s="2" t="inlineStr"/>
      <c r="I11" s="15" t="inlineStr"/>
    </row>
    <row r="12">
      <c r="A12" s="2" t="inlineStr">
        <is>
          <t>T11</t>
        </is>
      </c>
      <c r="B12" s="2" t="inlineStr">
        <is>
          <t>List</t>
        </is>
      </c>
      <c r="C12" s="2" t="inlineStr">
        <is>
          <t>Click a card / Details</t>
        </is>
      </c>
      <c r="D12" s="2" t="inlineStr">
        <is>
          <t>Opens that machine detail page</t>
        </is>
      </c>
      <c r="E12" s="15" t="inlineStr"/>
      <c r="F12" s="15" t="n"/>
      <c r="G12" s="2" t="inlineStr">
        <is>
          <t>24-Oct-2026</t>
        </is>
      </c>
      <c r="H12" s="2" t="inlineStr"/>
      <c r="I12" s="15" t="inlineStr"/>
    </row>
    <row r="13">
      <c r="A13" s="2" t="inlineStr">
        <is>
          <t>T12</t>
        </is>
      </c>
      <c r="B13" s="2" t="inlineStr">
        <is>
          <t>List</t>
        </is>
      </c>
      <c r="C13" s="2" t="inlineStr">
        <is>
          <t>Switch language HI / TA / TE / OR</t>
        </is>
      </c>
      <c r="D13" s="2" t="inlineStr">
        <is>
          <t>All labels translated, no raw keys</t>
        </is>
      </c>
      <c r="E13" s="15" t="inlineStr"/>
      <c r="F13" s="15" t="n"/>
      <c r="G13" s="2" t="inlineStr">
        <is>
          <t>24-Oct-2026</t>
        </is>
      </c>
      <c r="H13" s="2" t="inlineStr"/>
      <c r="I13" s="15" t="inlineStr"/>
    </row>
    <row r="14">
      <c r="A14" s="2" t="inlineStr">
        <is>
          <t>T13</t>
        </is>
      </c>
      <c r="B14" s="2" t="inlineStr">
        <is>
          <t>List</t>
        </is>
      </c>
      <c r="C14" s="2" t="inlineStr">
        <is>
          <t>Log in as Operator with some machines</t>
        </is>
      </c>
      <c r="D14" s="2" t="inlineStr">
        <is>
          <t>Only those machines and their numbers</t>
        </is>
      </c>
      <c r="E14" s="15" t="inlineStr"/>
      <c r="F14" s="15" t="n"/>
      <c r="G14" s="2" t="inlineStr">
        <is>
          <t>24-Oct-2026</t>
        </is>
      </c>
      <c r="H14" s="2" t="inlineStr"/>
      <c r="I14" s="15" t="inlineStr"/>
    </row>
    <row r="15">
      <c r="A15" s="2" t="inlineStr">
        <is>
          <t>T14</t>
        </is>
      </c>
      <c r="B15" s="2" t="inlineStr">
        <is>
          <t>List</t>
        </is>
      </c>
      <c r="C15" s="2" t="inlineStr">
        <is>
          <t>Fill Fleet Summary column D (severity) for all cards</t>
        </is>
      </c>
      <c r="D15" s="2" t="inlineStr">
        <is>
          <t>Column F says OK for every row; any 'CHECK' = log it</t>
        </is>
      </c>
      <c r="E15" s="15" t="inlineStr"/>
      <c r="F15" s="15" t="n"/>
      <c r="G15" s="2" t="inlineStr">
        <is>
          <t>24-Oct-2026</t>
        </is>
      </c>
      <c r="H15" s="2" t="inlineStr"/>
      <c r="I15" s="15" t="inlineStr"/>
    </row>
    <row r="16" ht="24" customHeight="1">
      <c r="A16" s="2" t="inlineStr">
        <is>
          <t>D1</t>
        </is>
      </c>
      <c r="B16" s="2" t="inlineStr">
        <is>
          <t>Detail</t>
        </is>
      </c>
      <c r="C16" s="2" t="inlineStr">
        <is>
          <t>EX-08: open Baselines, note coolant mean and std dev; z = (84.64 - mean) / std dev (or Risk Calculator)</t>
        </is>
      </c>
      <c r="D16" s="2" t="inlineStr">
        <is>
          <t>If ABS(z) &gt;= 1.5 while card says normal -&gt; Issue 1 confirmed. Screenshot before Score now</t>
        </is>
      </c>
      <c r="E16" s="15" t="inlineStr"/>
      <c r="F16" s="15" t="n"/>
      <c r="G16" s="2" t="inlineStr">
        <is>
          <t>24-Oct-2026</t>
        </is>
      </c>
      <c r="H16" s="2" t="inlineStr"/>
      <c r="I16" s="15" t="inlineStr"/>
    </row>
    <row r="17">
      <c r="A17" s="2" t="inlineStr">
        <is>
          <t>D2</t>
        </is>
      </c>
      <c r="B17" s="2" t="inlineStr">
        <is>
          <t>Detail</t>
        </is>
      </c>
      <c r="C17" s="2" t="inlineStr">
        <is>
          <t>EX-08: Reverse check sheet with risk 62, state normal</t>
        </is>
      </c>
      <c r="D17" s="2" t="inlineStr">
        <is>
          <t>Shows MISMATCH (ABS(z) 1.55 should be warning)</t>
        </is>
      </c>
      <c r="E17" s="15" t="inlineStr"/>
      <c r="F17" s="15" t="n"/>
      <c r="G17" s="2" t="inlineStr">
        <is>
          <t>24-Oct-2026</t>
        </is>
      </c>
      <c r="H17" s="2" t="inlineStr"/>
      <c r="I17" s="15" t="inlineStr"/>
    </row>
    <row r="18" ht="24" customHeight="1">
      <c r="A18" s="2" t="inlineStr">
        <is>
          <t>D3</t>
        </is>
      </c>
      <c r="B18" s="2" t="inlineStr">
        <is>
          <t>Detail</t>
        </is>
      </c>
      <c r="C18" s="2" t="inlineStr">
        <is>
          <t>Press Score now</t>
        </is>
      </c>
      <c r="D18" s="2" t="inlineStr">
        <is>
          <t>Popup shows 5 scored; risk and time update (small changes expected - simulated data)</t>
        </is>
      </c>
      <c r="E18" s="15" t="inlineStr"/>
      <c r="F18" s="15" t="n"/>
      <c r="G18" s="2" t="inlineStr">
        <is>
          <t>24-Oct-2026</t>
        </is>
      </c>
      <c r="H18" s="2" t="inlineStr"/>
      <c r="I18" s="15" t="inlineStr"/>
    </row>
    <row r="19">
      <c r="A19" s="2" t="inlineStr">
        <is>
          <t>D4</t>
        </is>
      </c>
      <c r="B19" s="2" t="inlineStr">
        <is>
          <t>Detail</t>
        </is>
      </c>
      <c r="C19" s="2" t="inlineStr">
        <is>
          <t>Compare each ring with its line graph last point</t>
        </is>
      </c>
      <c r="D19" s="2" t="inlineStr">
        <is>
          <t>Same value</t>
        </is>
      </c>
      <c r="E19" s="15" t="inlineStr"/>
      <c r="F19" s="15" t="n"/>
      <c r="G19" s="2" t="inlineStr">
        <is>
          <t>24-Oct-2026</t>
        </is>
      </c>
      <c r="H19" s="2" t="inlineStr"/>
      <c r="I19" s="15" t="inlineStr"/>
    </row>
    <row r="20">
      <c r="A20" s="2" t="inlineStr">
        <is>
          <t>D5</t>
        </is>
      </c>
      <c r="B20" s="2" t="inlineStr">
        <is>
          <t>Detail</t>
        </is>
      </c>
      <c r="C20" s="2" t="inlineStr">
        <is>
          <t>Press Create work order</t>
        </is>
      </c>
      <c r="D20" s="2" t="inlineStr">
        <is>
          <t>Work Orders page opens; machine not pre-selected (note it)</t>
        </is>
      </c>
      <c r="E20" s="15" t="inlineStr"/>
      <c r="F20" s="15" t="n"/>
      <c r="G20" s="2" t="inlineStr">
        <is>
          <t>24-Oct-2026</t>
        </is>
      </c>
      <c r="H20" s="2" t="inlineStr"/>
      <c r="I20" s="15" t="inlineStr"/>
    </row>
    <row r="21">
      <c r="A21" s="2" t="inlineStr">
        <is>
          <t>D6</t>
        </is>
      </c>
      <c r="B21" s="2" t="inlineStr">
        <is>
          <t>Detail</t>
        </is>
      </c>
      <c r="C21" s="2" t="inlineStr">
        <is>
          <t>Press Analyse now</t>
        </is>
      </c>
      <c r="D21" s="2" t="inlineStr">
        <is>
          <t>Recommendation appears or clear reason</t>
        </is>
      </c>
      <c r="E21" s="15" t="inlineStr"/>
      <c r="F21" s="15" t="n"/>
      <c r="G21" s="2" t="inlineStr">
        <is>
          <t>24-Oct-2026</t>
        </is>
      </c>
      <c r="H21" s="2" t="inlineStr"/>
      <c r="I21" s="15" t="inlineStr"/>
    </row>
    <row r="22">
      <c r="A22" s="2" t="inlineStr">
        <is>
          <t>D7</t>
        </is>
      </c>
      <c r="B22" s="2" t="inlineStr">
        <is>
          <t>Detail</t>
        </is>
      </c>
      <c r="C22" s="2" t="inlineStr">
        <is>
          <t>Baselines -&gt; Recompute</t>
        </is>
      </c>
      <c r="D22" s="2" t="inlineStr">
        <is>
          <t>Mean / std dev / samples refresh; computed time = now</t>
        </is>
      </c>
      <c r="E22" s="15" t="inlineStr"/>
      <c r="F22" s="15" t="n"/>
      <c r="G22" s="2" t="inlineStr">
        <is>
          <t>24-Oct-2026</t>
        </is>
      </c>
      <c r="H22" s="2" t="inlineStr"/>
      <c r="I22" s="15" t="inlineStr"/>
    </row>
    <row r="23" ht="24" customHeight="1">
      <c r="A23" s="2" t="inlineStr">
        <is>
          <t>D8</t>
        </is>
      </c>
      <c r="B23" s="2" t="inlineStr">
        <is>
          <t>Detail</t>
        </is>
      </c>
      <c r="C23" s="2" t="inlineStr">
        <is>
          <t>Paste 30+ readings of a signal into Baseline calculator</t>
        </is>
      </c>
      <c r="D23" s="2" t="inlineStr">
        <is>
          <t>Mean and std dev equal the Baselines panel (same 30-day window)</t>
        </is>
      </c>
      <c r="E23" s="15" t="inlineStr"/>
      <c r="F23" s="15" t="n"/>
      <c r="G23" s="2" t="inlineStr">
        <is>
          <t>24-Oct-2026</t>
        </is>
      </c>
      <c r="H23" s="2" t="inlineStr"/>
      <c r="I23" s="15" t="inlineStr"/>
    </row>
    <row r="24">
      <c r="A24" s="2" t="inlineStr">
        <is>
          <t>D9</t>
        </is>
      </c>
      <c r="B24" s="2" t="inlineStr">
        <is>
          <t>Detail</t>
        </is>
      </c>
      <c r="C24" s="2" t="inlineStr">
        <is>
          <t>Open a machine with no active scenario</t>
        </is>
      </c>
      <c r="D24" s="2" t="inlineStr">
        <is>
          <t>No-prediction message and hint to activate a scenario</t>
        </is>
      </c>
      <c r="E24" s="15" t="inlineStr"/>
      <c r="F24" s="15" t="n"/>
      <c r="G24" s="2" t="inlineStr">
        <is>
          <t>24-Oct-2026</t>
        </is>
      </c>
      <c r="H24" s="2" t="inlineStr"/>
      <c r="I24" s="15" t="inlineStr"/>
    </row>
    <row r="25">
      <c r="A25" s="2" t="inlineStr">
        <is>
          <t>D10</t>
        </is>
      </c>
      <c r="B25" s="2" t="inlineStr">
        <is>
          <t>Detail</t>
        </is>
      </c>
      <c r="C25" s="2" t="inlineStr">
        <is>
          <t>Machine with a signal that has &lt; 30 baseline samples</t>
        </is>
      </c>
      <c r="D25" s="2" t="inlineStr">
        <is>
          <t>Signal shows 'unscored'; confidence 'partial'</t>
        </is>
      </c>
      <c r="E25" s="15" t="inlineStr"/>
      <c r="F25" s="15" t="n"/>
      <c r="G25" s="2" t="inlineStr">
        <is>
          <t>24-Oct-2026</t>
        </is>
      </c>
      <c r="H25" s="2" t="inlineStr"/>
      <c r="I25" s="15" t="inlineStr"/>
    </row>
    <row r="26">
      <c r="A26" s="2" t="inlineStr">
        <is>
          <t>F1</t>
        </is>
      </c>
      <c r="B26" s="2" t="inlineStr">
        <is>
          <t>TTM forecast</t>
        </is>
      </c>
      <c r="C26" s="2" t="inlineStr">
        <is>
          <t>Forecast-enabled sensor with 21+ days of hourly data, after a forecast pass. GET /api/v1/equipment/{source}/{id}/page, forecast_chart widget for that sensor</t>
        </is>
      </c>
      <c r="D26" s="2" t="inlineStr">
        <is>
          <t>readiness ready; 24 horizon points with lo / hi, stepSeconds 3600; generatedAt within the last 4 hours; model key, revision and runId shown</t>
        </is>
      </c>
      <c r="E26" s="15" t="n"/>
      <c r="F26" s="15" t="n"/>
      <c r="G26" s="2" t="n"/>
      <c r="H26" s="2" t="n"/>
      <c r="I26" s="15" t="n"/>
    </row>
    <row r="27">
      <c r="A27" s="2" t="inlineStr">
        <is>
          <t>F2</t>
        </is>
      </c>
      <c r="B27" s="2" t="inlineStr">
        <is>
          <t>TTM forecast</t>
        </is>
      </c>
      <c r="C27" s="2" t="inlineStr">
        <is>
          <t>Same sensor with a few hours missing in the middle of the 21-day input (coverage still above the floor)</t>
        </is>
      </c>
      <c r="D27" s="2" t="inlineStr">
        <is>
          <t>Forecast produced; imputed_steps = number of missing hours; input_coverage below 1</t>
        </is>
      </c>
      <c r="E27" s="15" t="n"/>
      <c r="F27" s="15" t="n"/>
      <c r="G27" s="2" t="n"/>
      <c r="H27" s="2" t="n"/>
      <c r="I27" s="15" t="n"/>
    </row>
    <row r="28">
      <c r="A28" s="2" t="inlineStr">
        <is>
          <t>F3</t>
        </is>
      </c>
      <c r="B28" s="2" t="inlineStr">
        <is>
          <t>TTM forecast</t>
        </is>
      </c>
      <c r="C28" s="2" t="inlineStr">
        <is>
          <t>Sensor whose most recent hour (or first hour of the input) has no reading</t>
        </is>
      </c>
      <c r="D28" s="2" t="inlineStr">
        <is>
          <t>No forecast; forecast_run_skip records gap_at_edge</t>
        </is>
      </c>
      <c r="E28" s="15" t="n"/>
      <c r="F28" s="15" t="n"/>
      <c r="G28" s="2" t="n"/>
      <c r="H28" s="2" t="n"/>
      <c r="I28" s="15" t="n"/>
    </row>
    <row r="29">
      <c r="A29" s="2" t="inlineStr">
        <is>
          <t>F4</t>
        </is>
      </c>
      <c r="B29" s="2" t="inlineStr">
        <is>
          <t>TTM forecast</t>
        </is>
      </c>
      <c r="C29" s="2" t="inlineStr">
        <is>
          <t>Sensor with most hours missing in the input window</t>
        </is>
      </c>
      <c r="D29" s="2" t="inlineStr">
        <is>
          <t>No forecast; forecast_run_skip records insufficient_coverage</t>
        </is>
      </c>
      <c r="E29" s="15" t="n"/>
      <c r="F29" s="15" t="n"/>
      <c r="G29" s="2" t="n"/>
      <c r="H29" s="2" t="n"/>
      <c r="I29" s="15" t="n"/>
    </row>
    <row r="30">
      <c r="A30" s="2" t="inlineStr">
        <is>
          <t>F5</t>
        </is>
      </c>
      <c r="B30" s="2" t="inlineStr">
        <is>
          <t>TTM forecast</t>
        </is>
      </c>
      <c r="C30" s="2" t="inlineStr">
        <is>
          <t>Machine with fewer than 14 days of clean residuals (e.g. newly registered). GET /api/v1/equipment/{source}/{id}/page, forecast_chart widget</t>
        </is>
      </c>
      <c r="D30" s="2" t="inlineStr">
        <is>
          <t>readiness not_available, reason baseline_not_established; no forecast drawn without its interval; never shown as normal</t>
        </is>
      </c>
      <c r="E30" s="15" t="n"/>
      <c r="F30" s="15" t="n"/>
      <c r="G30" s="2" t="n"/>
      <c r="H30" s="2" t="n"/>
      <c r="I30" s="15" t="n"/>
    </row>
    <row r="31">
      <c r="A31" s="2" t="inlineStr">
        <is>
          <t>F6</t>
        </is>
      </c>
      <c r="B31" s="2" t="inlineStr">
        <is>
          <t>TTM forecast</t>
        </is>
      </c>
      <c r="C31" s="2" t="inlineStr">
        <is>
          <t>Machine with no shift schedule</t>
        </is>
      </c>
      <c r="D31" s="2" t="inlineStr">
        <is>
          <t>No band; reason no_shift_schedule (not baseline_not_established)</t>
        </is>
      </c>
      <c r="E31" s="15" t="n"/>
      <c r="F31" s="15" t="n"/>
      <c r="G31" s="2" t="n"/>
      <c r="H31" s="2" t="n"/>
      <c r="I31" s="15" t="n"/>
    </row>
    <row r="32">
      <c r="A32" s="2" t="inlineStr">
        <is>
          <t>F7</t>
        </is>
      </c>
      <c r="B32" s="2" t="inlineStr">
        <is>
          <t>TTM forecast</t>
        </is>
      </c>
      <c r="C32" s="2" t="inlineStr">
        <is>
          <t>Machine with an alert or open work order during the learning window, and some parked hours</t>
        </is>
      </c>
      <c r="D32" s="2" t="inlineStr">
        <is>
          <t>Band learned without those hours (clean days count drops); learned-from / learned-to dates shown</t>
        </is>
      </c>
      <c r="E32" s="15" t="n"/>
      <c r="F32" s="15" t="n"/>
      <c r="G32" s="2" t="n"/>
      <c r="H32" s="2" t="n"/>
      <c r="I32" s="15" t="n"/>
    </row>
    <row r="33">
      <c r="A33" s="2" t="inlineStr">
        <is>
          <t>F8</t>
        </is>
      </c>
      <c r="B33" s="2" t="inlineStr">
        <is>
          <t>TTM forecast</t>
        </is>
      </c>
      <c r="C33" s="2" t="inlineStr">
        <is>
          <t>Pick one horizon point from GET /api/v1/equipment/{source}/{id}/page, forecast_chart widget; compare lo / hi with forecast value + band low / high from forecast_residual history</t>
        </is>
      </c>
      <c r="D33" s="2" t="inlineStr">
        <is>
          <t>lo and hi equal Forecast + band low and Forecast + band high</t>
        </is>
      </c>
      <c r="E33" s="15" t="n"/>
      <c r="F33" s="15" t="n"/>
      <c r="G33" s="2" t="n"/>
      <c r="H33" s="2" t="n"/>
      <c r="I33" s="15" t="n"/>
    </row>
    <row r="34">
      <c r="A34" s="2" t="inlineStr">
        <is>
          <t>F9</t>
        </is>
      </c>
      <c r="B34" s="2" t="inlineStr">
        <is>
          <t>TTM forecast</t>
        </is>
      </c>
      <c r="C34" s="2" t="inlineStr">
        <is>
          <t>GET /api/v1/equipment/{source}/{id}/page, forecast_chart widget: read anomaly.actual, predicted, residual and band</t>
        </is>
      </c>
      <c r="D34" s="2" t="inlineStr">
        <is>
          <t>residual = actual - predicted; state anomalous when residual is below band lo or above band hi, else normal</t>
        </is>
      </c>
      <c r="E34" s="15" t="n"/>
      <c r="F34" s="15" t="n"/>
      <c r="G34" s="2" t="n"/>
      <c r="H34" s="2" t="n"/>
      <c r="I34" s="15" t="n"/>
    </row>
    <row r="35">
      <c r="A35" s="2" t="inlineStr">
        <is>
          <t>F10</t>
        </is>
      </c>
      <c r="B35" s="2" t="inlineStr">
        <is>
          <t>TTM forecast</t>
        </is>
      </c>
      <c r="C35" s="2" t="inlineStr">
        <is>
          <t>Raise an alert on a forecast-enabled sensor</t>
        </is>
      </c>
      <c r="D35" s="2" t="inlineStr">
        <is>
          <t>Machine re-forecast straight away, not at the next 4-hour pass (generated_at updates)</t>
        </is>
      </c>
      <c r="E35" s="15" t="n"/>
      <c r="F35" s="15" t="n"/>
      <c r="G35" s="2" t="n"/>
      <c r="H35" s="2" t="n"/>
      <c r="I35" s="15" t="n"/>
    </row>
    <row r="36">
      <c r="A36" s="2" t="inlineStr">
        <is>
          <t>F11</t>
        </is>
      </c>
      <c r="B36" s="2" t="inlineStr">
        <is>
          <t>TTM forecast</t>
        </is>
      </c>
      <c r="C36" s="2" t="inlineStr">
        <is>
          <t>Sensor not marked forecast-enabled in the class. GET /api/v1/equipment/{source}/{id}/page, forecast_chart widget bound to it</t>
        </is>
      </c>
      <c r="D36" s="2" t="inlineStr">
        <is>
          <t>readiness not_configured, reason forecast_not_declared; rec-evidence shows residual source not_declared</t>
        </is>
      </c>
      <c r="E36" s="15" t="n"/>
      <c r="F36" s="15" t="n"/>
      <c r="G36" s="2" t="n"/>
      <c r="H36" s="2" t="n"/>
      <c r="I36" s="15" t="n"/>
    </row>
    <row r="37">
      <c r="A37" s="2" t="inlineStr">
        <is>
          <t>F12</t>
        </is>
      </c>
      <c r="B37" s="2" t="inlineStr">
        <is>
          <t>TTM backtest</t>
        </is>
      </c>
      <c r="C37" s="2" t="inlineStr">
        <is>
          <t>Run npm run eval (TTM backtest) and open the report</t>
        </is>
      </c>
      <c r="D37" s="2" t="inlineStr">
        <is>
          <t>Per lead time: TTM MAE next to persistence and seasonal MAE; excluded steps counted by reason; interval coverage shows no_interval_on_forecast</t>
        </is>
      </c>
      <c r="E37" s="15" t="n"/>
      <c r="F37" s="15" t="n"/>
      <c r="G37" s="2" t="n"/>
      <c r="H37" s="2" t="n"/>
      <c r="I37" s="15" t="n"/>
    </row>
    <row r="38">
      <c r="A38" s="2" t="inlineStr">
        <is>
          <t>R1</t>
        </is>
      </c>
      <c r="B38" s="2" t="inlineStr">
        <is>
          <t>Recommendations</t>
        </is>
      </c>
      <c r="C38" s="2" t="inlineStr">
        <is>
          <t>Machine with an open alert on a sensor named by a failure mode that has library recommendations. POST /api/v1/equipment/{source}/{id}/rec-evidence ("Analyse now")</t>
        </is>
      </c>
      <c r="D38" s="2" t="inlineStr">
        <is>
          <t>Status ready, outcome attributed; that mode active; its library actions listed</t>
        </is>
      </c>
      <c r="E38" s="15" t="n"/>
      <c r="F38" s="15" t="n"/>
      <c r="G38" s="2" t="n"/>
      <c r="H38" s="2" t="n"/>
      <c r="I38" s="15" t="n"/>
    </row>
    <row r="39">
      <c r="A39" s="2" t="inlineStr">
        <is>
          <t>R2</t>
        </is>
      </c>
      <c r="B39" s="2" t="inlineStr">
        <is>
          <t>Recommendations</t>
        </is>
      </c>
      <c r="C39" s="2" t="inlineStr">
        <is>
          <t>Same as R1 with several recommendations of different urgency</t>
        </is>
      </c>
      <c r="D39" s="2" t="inlineStr">
        <is>
          <t>Ordered immediate, next_shift, next_service, monitor</t>
        </is>
      </c>
      <c r="E39" s="15" t="n"/>
      <c r="F39" s="15" t="n"/>
      <c r="G39" s="2" t="n"/>
      <c r="H39" s="2" t="n"/>
      <c r="I39" s="15" t="n"/>
    </row>
    <row r="40">
      <c r="A40" s="2" t="inlineStr">
        <is>
          <t>R3</t>
        </is>
      </c>
      <c r="B40" s="2" t="inlineStr">
        <is>
          <t>Recommendations</t>
        </is>
      </c>
      <c r="C40" s="2" t="inlineStr">
        <is>
          <t>Raise a work order from the R1 alert, then analyse again</t>
        </is>
      </c>
      <c r="D40" s="2" t="inlineStr">
        <is>
          <t>Candidate marked already in hand with that work order id</t>
        </is>
      </c>
      <c r="E40" s="15" t="n"/>
      <c r="F40" s="15" t="n"/>
      <c r="G40" s="2" t="n"/>
      <c r="H40" s="2" t="n"/>
      <c r="I40" s="15" t="n"/>
    </row>
    <row r="41">
      <c r="A41" s="2" t="inlineStr">
        <is>
          <t>R4</t>
        </is>
      </c>
      <c r="B41" s="2" t="inlineStr">
        <is>
          <t>Recommendations</t>
        </is>
      </c>
      <c r="C41" s="2" t="inlineStr">
        <is>
          <t>Machine with no open alerts but one failure-mode sensor unbound or stale</t>
        </is>
      </c>
      <c r="D41" s="2" t="inlineStr">
        <is>
          <t>That mode unknown; sensor under notObserved with reason; outcome inconclusive</t>
        </is>
      </c>
      <c r="E41" s="15" t="n"/>
      <c r="F41" s="15" t="n"/>
      <c r="G41" s="2" t="n"/>
      <c r="H41" s="2" t="n"/>
      <c r="I41" s="15" t="n"/>
    </row>
    <row r="42">
      <c r="A42" s="2" t="inlineStr">
        <is>
          <t>R5</t>
        </is>
      </c>
      <c r="B42" s="2" t="inlineStr">
        <is>
          <t>Recommendations</t>
        </is>
      </c>
      <c r="C42" s="2" t="inlineStr">
        <is>
          <t>Machine with all failure-mode sensors fresh and no open alerts</t>
        </is>
      </c>
      <c r="D42" s="2" t="inlineStr">
        <is>
          <t>All modes clear; outcome nothing_detected</t>
        </is>
      </c>
      <c r="E42" s="15" t="n"/>
      <c r="F42" s="15" t="n"/>
      <c r="G42" s="2" t="n"/>
      <c r="H42" s="2" t="n"/>
      <c r="I42" s="15" t="n"/>
    </row>
    <row r="43">
      <c r="A43" s="2" t="inlineStr">
        <is>
          <t>R6</t>
        </is>
      </c>
      <c r="B43" s="2" t="inlineStr">
        <is>
          <t>Recommendations</t>
        </is>
      </c>
      <c r="C43" s="2" t="inlineStr">
        <is>
          <t>Open alert on a sensor no failure mode names</t>
        </is>
      </c>
      <c r="D43" s="2" t="inlineStr">
        <is>
          <t>Outcome unattributed; sensor listed under unattributed with its alert</t>
        </is>
      </c>
      <c r="E43" s="15" t="n"/>
      <c r="F43" s="15" t="n"/>
      <c r="G43" s="2" t="n"/>
      <c r="H43" s="2" t="n"/>
      <c r="I43" s="15" t="n"/>
    </row>
    <row r="44">
      <c r="A44" s="2" t="inlineStr">
        <is>
          <t>R7</t>
        </is>
      </c>
      <c r="B44" s="2" t="inlineStr">
        <is>
          <t>Recommendations</t>
        </is>
      </c>
      <c r="C44" s="2" t="inlineStr">
        <is>
          <t>Machine where no failure-mode sensor can be seen</t>
        </is>
      </c>
      <c r="D44" s="2" t="inlineStr">
        <is>
          <t>Status blocked, reason insufficient_coverage; no outcome</t>
        </is>
      </c>
      <c r="E44" s="15" t="n"/>
      <c r="F44" s="15" t="n"/>
      <c r="G44" s="2" t="n"/>
      <c r="H44" s="2" t="n"/>
      <c r="I44" s="15" t="n"/>
    </row>
    <row r="45">
      <c r="A45" s="2" t="inlineStr">
        <is>
          <t>R8</t>
        </is>
      </c>
      <c r="B45" s="2" t="inlineStr">
        <is>
          <t>Recommendations</t>
        </is>
      </c>
      <c r="C45" s="2" t="inlineStr">
        <is>
          <t>Machine with no equipment class; then a class with no failure modes</t>
        </is>
      </c>
      <c r="D45" s="2" t="inlineStr">
        <is>
          <t>Status not_configured; reason unclassified, then no_library_content</t>
        </is>
      </c>
      <c r="E45" s="15" t="n"/>
      <c r="F45" s="15" t="n"/>
      <c r="G45" s="2" t="n"/>
      <c r="H45" s="2" t="n"/>
      <c r="I45" s="15" t="n"/>
    </row>
    <row r="46">
      <c r="A46" s="2" t="inlineStr">
        <is>
          <t>R9</t>
        </is>
      </c>
      <c r="B46" s="2" t="inlineStr">
        <is>
          <t>Recommendations</t>
        </is>
      </c>
      <c r="C46" s="2" t="inlineStr">
        <is>
          <t>Open no-telemetry alert on the machine</t>
        </is>
      </c>
      <c r="D46" s="2" t="inlineStr">
        <is>
          <t>Sensors not_observed with reason no_telemetry, not anomalous</t>
        </is>
      </c>
      <c r="E46" s="15" t="n"/>
      <c r="F46" s="15" t="n"/>
      <c r="G46" s="2" t="n"/>
      <c r="H46" s="2" t="n"/>
      <c r="I46" s="15" t="n"/>
    </row>
    <row r="47">
      <c r="A47" s="2" t="inlineStr">
        <is>
          <t>R10</t>
        </is>
      </c>
      <c r="B47" s="2" t="inlineStr">
        <is>
          <t>Recommendations</t>
        </is>
      </c>
      <c r="C47" s="2" t="inlineStr">
        <is>
          <t>Machine with no alerts, work orders or service records ever; then one with history but none for the mode</t>
        </is>
      </c>
      <c r="D47" s="2" t="inlineStr">
        <is>
          <t>Precedent no_history for the first; none_found for the second</t>
        </is>
      </c>
      <c r="E47" s="15" t="n"/>
      <c r="F47" s="15" t="n"/>
      <c r="G47" s="2" t="n"/>
      <c r="H47" s="2" t="n"/>
      <c r="I47" s="15" t="n"/>
    </row>
    <row r="48">
      <c r="A48" s="2" t="inlineStr">
        <is>
          <t>R11</t>
        </is>
      </c>
      <c r="B48" s="2" t="inlineStr">
        <is>
          <t>Recommendations</t>
        </is>
      </c>
      <c r="C48" s="2" t="inlineStr">
        <is>
          <t>labour_rate_per_hour and currency set; recommendation has estimated hours</t>
        </is>
      </c>
      <c r="D48" s="2" t="inlineStr">
        <is>
          <t>Labour = hours x rate in that currency; downtime, parts, fuel pending</t>
        </is>
      </c>
      <c r="E48" s="15" t="n"/>
      <c r="F48" s="15" t="n"/>
      <c r="G48" s="2" t="n"/>
      <c r="H48" s="2" t="n"/>
      <c r="I48" s="15" t="n"/>
    </row>
    <row r="49">
      <c r="A49" s="2" t="inlineStr">
        <is>
          <t>R12</t>
        </is>
      </c>
      <c r="B49" s="2" t="inlineStr">
        <is>
          <t>Recommendations</t>
        </is>
      </c>
      <c r="C49" s="2" t="inlineStr">
        <is>
          <t>labour_rate_per_hour not set for the account</t>
        </is>
      </c>
      <c r="D49" s="2" t="inlineStr">
        <is>
          <t>Labour blocked (parameters_required); missing parameter named; never 0</t>
        </is>
      </c>
      <c r="E49" s="15" t="n"/>
      <c r="F49" s="15" t="n"/>
      <c r="G49" s="2" t="n"/>
      <c r="H49" s="2" t="n"/>
      <c r="I49" s="15" t="n"/>
    </row>
    <row r="50">
      <c r="A50" s="2" t="inlineStr">
        <is>
          <t>R13</t>
        </is>
      </c>
      <c r="B50" s="2" t="inlineStr">
        <is>
          <t>Recommendations</t>
        </is>
      </c>
      <c r="C50" s="2" t="inlineStr">
        <is>
          <t>Recommendation with no estimated hours in the library</t>
        </is>
      </c>
      <c r="D50" s="2" t="inlineStr">
        <is>
          <t>Labour blocked (validation_required)</t>
        </is>
      </c>
      <c r="E50" s="15" t="n"/>
      <c r="F50" s="15" t="n"/>
      <c r="G50" s="2" t="n"/>
      <c r="H50" s="2" t="n"/>
      <c r="I50" s="15" t="n"/>
    </row>
    <row r="51">
      <c r="A51" s="2" t="inlineStr">
        <is>
          <t>R14</t>
        </is>
      </c>
      <c r="B51" s="2" t="inlineStr">
        <is>
          <t>Recommendations</t>
        </is>
      </c>
      <c r="C51" s="2" t="inlineStr">
        <is>
          <t>Press Analyse now twice with nothing changed; then twice at the same moment</t>
        </is>
      </c>
      <c r="D51" s="2" t="inlineStr">
        <is>
          <t>Same bundle returned both times; only one bundle stored</t>
        </is>
      </c>
      <c r="E51" s="15" t="n"/>
      <c r="F51" s="15" t="n"/>
      <c r="G51" s="2" t="n"/>
      <c r="H51" s="2" t="n"/>
      <c r="I51" s="15" t="n"/>
    </row>
    <row r="52">
      <c r="A52" s="2" t="inlineStr">
        <is>
          <t>R15</t>
        </is>
      </c>
      <c r="B52" s="2" t="inlineStr">
        <is>
          <t>Recommendations</t>
        </is>
      </c>
      <c r="C52" s="2" t="inlineStr">
        <is>
          <t>Forecast-enabled sensor with an active TTM model; then with no active model</t>
        </is>
      </c>
      <c r="D52" s="2" t="inlineStr">
        <is>
          <t>Residual source ready; then not_available with reason no_forecast_model</t>
        </is>
      </c>
      <c r="E52" s="15" t="n"/>
      <c r="F52" s="15" t="n"/>
      <c r="G52" s="2" t="n"/>
      <c r="H52" s="2" t="n"/>
      <c r="I52" s="15" t="n"/>
    </row>
    <row r="53">
      <c r="A53" s="2" t="inlineStr">
        <is>
          <t>R16</t>
        </is>
      </c>
      <c r="B53" s="2" t="inlineStr">
        <is>
          <t>Recommendations</t>
        </is>
      </c>
      <c r="C53" s="2" t="inlineStr">
        <is>
          <t>Log in as Operator; analyse a machine not assigned to you</t>
        </is>
      </c>
      <c r="D53" s="2" t="inlineStr">
        <is>
          <t>404 "No such equipment in this account."</t>
        </is>
      </c>
      <c r="E53" s="15" t="n"/>
      <c r="F53" s="15" t="n"/>
      <c r="G53" s="2" t="n"/>
      <c r="H53" s="2" t="inlineStr">
        <is>
          <t>Operator</t>
        </is>
      </c>
      <c r="I53" s="15" t="n"/>
    </row>
    <row r="54">
      <c r="A54" s="2" t="inlineStr">
        <is>
          <t>F13</t>
        </is>
      </c>
      <c r="B54" s="2" t="inlineStr">
        <is>
          <t>TTM forecast API</t>
        </is>
      </c>
      <c r="C54" s="2" t="inlineStr">
        <is>
          <t>GET /api/v1/equipment/{source}/{id}/forecasts for a machine with forecast-enabled sensors</t>
        </is>
      </c>
      <c r="D54" s="2" t="inlineStr">
        <is>
          <t>200; one entry per forecast-enabled sensor, in name order, each with signal / readiness / reason / data; sensors not forecast-enabled are not listed</t>
        </is>
      </c>
      <c r="E54" s="15" t="n"/>
      <c r="F54" s="15" t="n"/>
      <c r="G54" s="2" t="n"/>
      <c r="H54" s="2" t="n"/>
      <c r="I54" s="15" t="inlineStr">
        <is>
          <t>New route on branch feature/forecast-api: run after it is merged and deployed</t>
        </is>
      </c>
    </row>
    <row r="55">
      <c r="A55" s="2" t="inlineStr">
        <is>
          <t>F14</t>
        </is>
      </c>
      <c r="B55" s="2" t="inlineStr">
        <is>
          <t>TTM forecast API</t>
        </is>
      </c>
      <c r="C55" s="2" t="inlineStr">
        <is>
          <t>Same machine: compare a ready sensor's data from GET /api/v1/equipment/{source}/{id}/forecasts with the forecast_chart widget from GET /api/v1/equipment/{source}/{id}/page</t>
        </is>
      </c>
      <c r="D55" s="2" t="inlineStr">
        <is>
          <t>Identical horizon, interval, model, run id and anomaly</t>
        </is>
      </c>
      <c r="E55" s="15" t="n"/>
      <c r="F55" s="15" t="n"/>
      <c r="G55" s="2" t="n"/>
      <c r="H55" s="2" t="n"/>
      <c r="I55" s="15" t="inlineStr">
        <is>
          <t>New route on branch feature/forecast-api: run after it is merged and deployed</t>
        </is>
      </c>
    </row>
    <row r="56">
      <c r="A56" s="2" t="inlineStr">
        <is>
          <t>F15</t>
        </is>
      </c>
      <c r="B56" s="2" t="inlineStr">
        <is>
          <t>TTM forecast API</t>
        </is>
      </c>
      <c r="C56" s="2" t="inlineStr">
        <is>
          <t>Forecast-enabled sensor that has no forecast_chart on the machine page layout; call GET /api/v1/equipment/{source}/{id}/forecasts</t>
        </is>
      </c>
      <c r="D56" s="2" t="inlineStr">
        <is>
          <t>Still listed, with its own readiness (the page cannot show it; the route does)</t>
        </is>
      </c>
      <c r="E56" s="15" t="n"/>
      <c r="F56" s="15" t="n"/>
      <c r="G56" s="2" t="n"/>
      <c r="H56" s="2" t="n"/>
      <c r="I56" s="15" t="inlineStr">
        <is>
          <t>New route on branch feature/forecast-api: run after it is merged and deployed</t>
        </is>
      </c>
    </row>
    <row r="57">
      <c r="A57" s="2" t="inlineStr">
        <is>
          <t>F16</t>
        </is>
      </c>
      <c r="B57" s="2" t="inlineStr">
        <is>
          <t>TTM forecast API</t>
        </is>
      </c>
      <c r="C57" s="2" t="inlineStr">
        <is>
          <t>GET /api/v1/equipment/{source}/{id}/forecasts/{sensor} for a sensor that is ready in F13</t>
        </is>
      </c>
      <c r="D57" s="2" t="inlineStr">
        <is>
          <t>200; the same entry as that sensor in F13</t>
        </is>
      </c>
      <c r="E57" s="15" t="n"/>
      <c r="F57" s="15" t="n"/>
      <c r="G57" s="2" t="n"/>
      <c r="H57" s="2" t="n"/>
      <c r="I57" s="15" t="inlineStr">
        <is>
          <t>New route on branch feature/forecast-api: run after it is merged and deployed</t>
        </is>
      </c>
    </row>
    <row r="58">
      <c r="A58" s="2" t="inlineStr">
        <is>
          <t>F17</t>
        </is>
      </c>
      <c r="B58" s="2" t="inlineStr">
        <is>
          <t>TTM forecast API</t>
        </is>
      </c>
      <c r="C58" s="2" t="inlineStr">
        <is>
          <t>GET /api/v1/equipment/{source}/{id}/forecasts/{sensor} for a sensor not forecast-enabled, and for a misspelt sensor name</t>
        </is>
      </c>
      <c r="D58" s="2" t="inlineStr">
        <is>
          <t>200 with readiness not_configured, reason forecast_not_declared (not 404)</t>
        </is>
      </c>
      <c r="E58" s="15" t="n"/>
      <c r="F58" s="15" t="n"/>
      <c r="G58" s="2" t="n"/>
      <c r="H58" s="2" t="n"/>
      <c r="I58" s="15" t="inlineStr">
        <is>
          <t>New route on branch feature/forecast-api: run after it is merged and deployed</t>
        </is>
      </c>
    </row>
    <row r="59">
      <c r="A59" s="2" t="inlineStr">
        <is>
          <t>F18</t>
        </is>
      </c>
      <c r="B59" s="2" t="inlineStr">
        <is>
          <t>TTM forecast API</t>
        </is>
      </c>
      <c r="C59" s="2" t="inlineStr">
        <is>
          <t>GET /api/v1/equipment/{source}/{id}/forecasts for a machine before any forecast pass has run for it</t>
        </is>
      </c>
      <c r="D59" s="2" t="inlineStr">
        <is>
          <t>Each sensor not_available, reason no_forecast_model; calling the route does not create a forecast</t>
        </is>
      </c>
      <c r="E59" s="15" t="n"/>
      <c r="F59" s="15" t="n"/>
      <c r="G59" s="2" t="n"/>
      <c r="H59" s="2" t="n"/>
      <c r="I59" s="15" t="inlineStr">
        <is>
          <t>New route on branch feature/forecast-api: run after it is merged and deployed</t>
        </is>
      </c>
    </row>
    <row r="60">
      <c r="A60" s="2" t="inlineStr">
        <is>
          <t>F19</t>
        </is>
      </c>
      <c r="B60" s="2" t="inlineStr">
        <is>
          <t>TTM forecast API</t>
        </is>
      </c>
      <c r="C60" s="2" t="inlineStr">
        <is>
          <t>Both routes for another account's machine, a machine not assigned to an Operator, and a machine id that does not exist</t>
        </is>
      </c>
      <c r="D60" s="2" t="inlineStr">
        <is>
          <t>404 "No such equipment in this account." in every case</t>
        </is>
      </c>
      <c r="E60" s="15" t="n"/>
      <c r="F60" s="15" t="n"/>
      <c r="G60" s="2" t="n"/>
      <c r="H60" s="2" t="inlineStr">
        <is>
          <t>Operator; admin</t>
        </is>
      </c>
      <c r="I60" s="15" t="inlineStr">
        <is>
          <t>New route on branch feature/forecast-api: run after it is merged and deployed</t>
        </is>
      </c>
    </row>
    <row r="61">
      <c r="A61" s="2" t="inlineStr">
        <is>
          <t>F20</t>
        </is>
      </c>
      <c r="B61" s="2" t="inlineStr">
        <is>
          <t>TTM forecast API</t>
        </is>
      </c>
      <c r="C61" s="2" t="inlineStr">
        <is>
          <t>Both routes with a role lacking prediction.read, then with no token</t>
        </is>
      </c>
      <c r="D61" s="2" t="inlineStr">
        <is>
          <t>403, then 401</t>
        </is>
      </c>
      <c r="E61" s="15" t="n"/>
      <c r="F61" s="15" t="n"/>
      <c r="G61" s="2" t="n"/>
      <c r="H61" s="2" t="n"/>
      <c r="I61" s="15" t="inlineStr">
        <is>
          <t>New route on branch feature/forecast-api: run after it is merged and deployed</t>
        </is>
      </c>
    </row>
    <row r="64">
      <c r="A64" s="13" t="inlineStr">
        <is>
          <t>Pass</t>
        </is>
      </c>
      <c r="B64" s="14">
        <f>COUNTIF(F2:F61,"Pass")</f>
        <v/>
      </c>
    </row>
    <row r="65">
      <c r="A65" s="13" t="inlineStr">
        <is>
          <t>Fail</t>
        </is>
      </c>
      <c r="B65" s="14">
        <f>COUNTIF(F2:F61,"Fail")</f>
        <v/>
      </c>
    </row>
    <row r="66">
      <c r="A66" s="13" t="inlineStr">
        <is>
          <t>Blocked</t>
        </is>
      </c>
      <c r="B66" s="14">
        <f>COUNTIF(F2:F61,"Blocked")</f>
        <v/>
      </c>
    </row>
    <row r="67">
      <c r="A67" s="13" t="inlineStr">
        <is>
          <t>Not run / blank</t>
        </is>
      </c>
      <c r="B67" s="14">
        <f>COUNTA(A2:A61)-SUM(B64:B66)</f>
        <v/>
      </c>
    </row>
    <row r="68">
      <c r="A68" s="13" t="inlineStr">
        <is>
          <t>Total</t>
        </is>
      </c>
      <c r="B68" s="14">
        <f>COUNTA(A2:A61)</f>
        <v/>
      </c>
    </row>
  </sheetData>
  <conditionalFormatting sqref="F2:F61">
    <cfRule type="expression" priority="1" dxfId="2">
      <formula>$F2="Pass"</formula>
    </cfRule>
    <cfRule type="expression" priority="2" dxfId="1">
      <formula>$F2="Fail"</formula>
    </cfRule>
    <cfRule type="expression" priority="3" dxfId="0">
      <formula>$F2="Blocked"</formula>
    </cfRule>
  </conditionalFormatting>
  <dataValidations count="1">
    <dataValidation sqref="F2:F61" showDropDown="0" showInputMessage="0" showErrorMessage="0" allowBlank="0" type="list">
      <formula1>"Pass,Fail,Blocked,Not run"</formula1>
    </dataValidation>
  </dataValidations>
  <pageMargins left="0.7" right="0.7" top="0.75" bottom="0.75" header="0.3" footer="0.3"/>
  <pageSetup orientation="portrait" horizontalDpi="4294967295" verticalDpi="4294967295"/>
</worksheet>
</file>

<file path=xl/worksheets/sheet6.xml><?xml version="1.0" encoding="utf-8"?>
<worksheet xmlns="http://schemas.openxmlformats.org/spreadsheetml/2006/main">
  <sheetPr>
    <outlinePr summaryBelow="1" summaryRight="1"/>
    <pageSetUpPr/>
  </sheetPr>
  <dimension ref="A1:F8"/>
  <sheetViews>
    <sheetView zoomScaleNormal="100" zoomScaleSheetLayoutView="100" workbookViewId="0">
      <selection activeCell="E6" sqref="E6"/>
    </sheetView>
  </sheetViews>
  <sheetFormatPr baseColWidth="8" defaultRowHeight="15"/>
  <cols>
    <col width="6" customWidth="1" min="1" max="1"/>
    <col width="10" customWidth="1" min="2" max="2"/>
    <col width="50" customWidth="1" min="3" max="3"/>
    <col width="56" customWidth="1" min="4" max="4"/>
    <col width="50" customWidth="1" min="5" max="5"/>
    <col width="10" customWidth="1" min="6" max="6"/>
  </cols>
  <sheetData>
    <row r="1" ht="30" customHeight="1">
      <c r="A1" s="1" t="inlineStr">
        <is>
          <t>ID</t>
        </is>
      </c>
      <c r="B1" s="1" t="inlineStr">
        <is>
          <t>Severity</t>
        </is>
      </c>
      <c r="C1" s="1" t="inlineStr">
        <is>
          <t>What is seen</t>
        </is>
      </c>
      <c r="D1" s="1" t="inlineStr">
        <is>
          <t>Why</t>
        </is>
      </c>
      <c r="E1" s="1" t="inlineStr">
        <is>
          <t>Question / fix</t>
        </is>
      </c>
      <c r="F1" s="1" t="inlineStr">
        <is>
          <t>State</t>
        </is>
      </c>
    </row>
    <row r="2" ht="61.5" customHeight="1">
      <c r="A2" s="2" t="inlineStr">
        <is>
          <t>I1</t>
        </is>
      </c>
      <c r="B2" s="2" t="inlineStr">
        <is>
          <t>High</t>
        </is>
      </c>
      <c r="C2" s="2" t="inlineStr">
        <is>
          <t>NONE with risk 61-64 and 0 abnormal on 6 machines (EX-04, 06, 08, 10, 11, 12); on EX-08 coolant-drift 62 shows "normal"</t>
        </is>
      </c>
      <c r="D2" s="2" t="inlineStr">
        <is>
          <t>With default limits 1.5 / 2.5, 0 abnormal caps risk at 60. Single-signal coolant-drift 62 -&gt; ABS(z) 1.55 -&gt; must be warning.</t>
        </is>
      </c>
      <c r="E2" s="2" t="inlineStr">
        <is>
          <t>Has warning_sigma been raised or critical_sigma lowered for these scenarios on dev? (Demo script does not change them.)</t>
        </is>
      </c>
      <c r="F2" s="15" t="inlineStr">
        <is>
          <t>Open</t>
        </is>
      </c>
    </row>
    <row r="3">
      <c r="A3" s="2" t="inlineStr">
        <is>
          <t>I2</t>
        </is>
      </c>
      <c r="B3" s="2" t="inlineStr">
        <is>
          <t>Low</t>
        </is>
      </c>
      <c r="C3" s="2" t="inlineStr">
        <is>
          <t>Ring shows "76%"</t>
        </is>
      </c>
      <c r="D3" s="2" t="inlineStr">
        <is>
          <t>Risk score is not a percentage or probability (page tooltip says so).</t>
        </is>
      </c>
      <c r="E3" s="2" t="inlineStr">
        <is>
          <t>Remove the % sign?</t>
        </is>
      </c>
      <c r="F3" s="15" t="inlineStr">
        <is>
          <t>Open</t>
        </is>
      </c>
    </row>
    <row r="4">
      <c r="A4" s="2" t="inlineStr">
        <is>
          <t>I3</t>
        </is>
      </c>
      <c r="B4" s="2" t="inlineStr">
        <is>
          <t>Low</t>
        </is>
      </c>
      <c r="C4" s="2" t="inlineStr">
        <is>
          <t>Bell count 1 on EX-02, EX-03 vs Dashboard 1 open alert</t>
        </is>
      </c>
      <c r="D4" s="2" t="inlineStr">
        <is>
          <t>Bell = abnormal signals, not alerts.</t>
        </is>
      </c>
      <c r="E4" s="2" t="inlineStr">
        <is>
          <t>Rename or add tooltip?</t>
        </is>
      </c>
      <c r="F4" s="15" t="inlineStr">
        <is>
          <t>Open</t>
        </is>
      </c>
    </row>
    <row r="5">
      <c r="A5" s="2" t="inlineStr">
        <is>
          <t>I4</t>
        </is>
      </c>
      <c r="B5" s="2" t="inlineStr">
        <is>
          <t>Low</t>
        </is>
      </c>
      <c r="C5" s="2" t="inlineStr">
        <is>
          <t>"No active scenario" label</t>
        </is>
      </c>
      <c r="D5" s="2" t="inlineStr">
        <is>
          <t>Counts machines with no prediction, not switched-off scenarios.</t>
        </is>
      </c>
      <c r="E5" s="2" t="inlineStr">
        <is>
          <t>Rename to "Not scored yet"?</t>
        </is>
      </c>
      <c r="F5" s="15" t="inlineStr">
        <is>
          <t>Open</t>
        </is>
      </c>
    </row>
    <row r="6">
      <c r="A6" s="2" t="inlineStr">
        <is>
          <t>I5</t>
        </is>
      </c>
      <c r="B6" s="2" t="inlineStr">
        <is>
          <t>Low</t>
        </is>
      </c>
      <c r="C6" s="2" t="inlineStr">
        <is>
          <t>Create work order on detail page</t>
        </is>
      </c>
      <c r="D6" s="2" t="inlineStr">
        <is>
          <t>Opens Work Orders without the machine pre-selected.</t>
        </is>
      </c>
      <c r="E6" s="2" t="inlineStr">
        <is>
          <t>Pre-select the machine?</t>
        </is>
      </c>
      <c r="F6" s="15" t="inlineStr">
        <is>
          <t>Open</t>
        </is>
      </c>
    </row>
    <row r="7">
      <c r="A7" s="2" t="inlineStr">
        <is>
          <t>I6</t>
        </is>
      </c>
      <c r="B7" s="2" t="inlineStr">
        <is>
          <t>Info</t>
        </is>
      </c>
      <c r="C7" s="2" t="inlineStr">
        <is>
          <t>Worst scenario picked by severity</t>
        </is>
      </c>
      <c r="D7" s="2" t="inlineStr">
        <is>
          <t>Equal severity keeps the first scenario, which may not have the highest risk.</t>
        </is>
      </c>
      <c r="E7" s="2" t="inlineStr">
        <is>
          <t>Intended?</t>
        </is>
      </c>
      <c r="F7" s="15" t="inlineStr">
        <is>
          <t>Open</t>
        </is>
      </c>
    </row>
    <row r="8">
      <c r="A8" s="2" t="inlineStr">
        <is>
          <t>I7</t>
        </is>
      </c>
      <c r="B8" s="2" t="inlineStr">
        <is>
          <t>Info</t>
        </is>
      </c>
      <c r="C8" s="2" t="inlineStr">
        <is>
          <t>Old predictions still shown</t>
        </is>
      </c>
      <c r="D8" s="2" t="inlineStr">
        <is>
          <t>Latest prediction shown however old it is.</t>
        </is>
      </c>
      <c r="E8" s="2" t="inlineStr">
        <is>
          <t>Show age / hide stale?</t>
        </is>
      </c>
      <c r="F8" s="15" t="inlineStr">
        <is>
          <t>Open</t>
        </is>
      </c>
    </row>
  </sheetData>
  <dataValidations count="1">
    <dataValidation sqref="F2:F8" showDropDown="0" showInputMessage="0" showErrorMessage="0" allowBlank="0" type="list">
      <formula1>"Open,Answered,Fixed,Won't fix"</formula1>
    </dataValidation>
  </dataValidations>
  <pageMargins left="0.7" right="0.7" top="0.75" bottom="0.75" header="0.3" footer="0.3"/>
  <pageSetup orientation="portrait" horizontalDpi="4294967295" verticalDpi="4294967295"/>
</worksheet>
</file>

<file path=xl/worksheets/sheet7.xml><?xml version="1.0" encoding="utf-8"?>
<worksheet xmlns="http://schemas.openxmlformats.org/spreadsheetml/2006/main">
  <sheetPr>
    <outlinePr summaryBelow="1" summaryRight="1"/>
    <pageSetUpPr/>
  </sheetPr>
  <dimension ref="A1:B10"/>
  <sheetViews>
    <sheetView zoomScaleNormal="100" zoomScaleSheetLayoutView="100" workbookViewId="0">
      <selection activeCell="B16" sqref="B16"/>
    </sheetView>
  </sheetViews>
  <sheetFormatPr baseColWidth="8" defaultRowHeight="15"/>
  <cols>
    <col width="35.28515625" customWidth="1" min="1" max="1"/>
    <col width="100" customWidth="1" min="2" max="2"/>
  </cols>
  <sheetData>
    <row r="1">
      <c r="A1" s="16" t="inlineStr">
        <is>
          <t>ThingsCare test workbook</t>
        </is>
      </c>
      <c r="B1" s="17" t="inlineStr"/>
    </row>
    <row r="2">
      <c r="A2" s="18" t="inlineStr">
        <is>
          <t>Yellow cells</t>
        </is>
      </c>
      <c r="B2" s="17" t="inlineStr">
        <is>
          <t>Type here (inputs, status, actual results). Blue text = your input.</t>
        </is>
      </c>
    </row>
    <row r="3">
      <c r="A3" s="19" t="inlineStr">
        <is>
          <t>Green cells</t>
        </is>
      </c>
      <c r="B3" s="17" t="inlineStr">
        <is>
          <t>Calculated by Excel formulas - do not type.</t>
        </is>
      </c>
    </row>
    <row r="4">
      <c r="A4" s="20" t="inlineStr">
        <is>
          <t>Business Guide</t>
        </is>
      </c>
      <c r="B4" s="17" t="inlineStr">
        <is>
          <t>Plain-English meaning of every input and output: Tier 1 risk, Granite TTM forecast and band, the recommendation engine, and the KPI baseline. How to read each result, worked examples, open questions.</t>
        </is>
      </c>
    </row>
    <row r="5" ht="24" customHeight="1">
      <c r="A5" s="20" t="inlineStr">
        <is>
          <t>Formulas</t>
        </is>
      </c>
      <c r="B5" s="17" t="inlineStr">
        <is>
          <t>Every formula and rule on the ThingsCare list and detail pages.</t>
        </is>
      </c>
    </row>
    <row r="6">
      <c r="A6" s="20" t="inlineStr">
        <is>
          <t>Risk Calculator</t>
        </is>
      </c>
      <c r="B6" s="17" t="inlineStr">
        <is>
          <t>Enter signals (value, mean, std dev, samples) -&gt; z, contribution, state, abnormal, risk, severity. Example row: z 3.0 / 1.0 / 0.5 -&gt; risk 86, critical. Also a reverse check and a baseline calculator.</t>
        </is>
      </c>
    </row>
    <row r="7">
      <c r="A7" s="20" t="inlineStr">
        <is>
          <t>Field Map</t>
        </is>
      </c>
      <c r="B7" s="17" t="inlineStr">
        <is>
          <t>Every value on both pages with API, source, formula, logic, edge case.</t>
        </is>
      </c>
    </row>
    <row r="8">
      <c r="A8" s="20" t="inlineStr">
        <is>
          <t>Test Cases</t>
        </is>
      </c>
      <c r="B8" s="17" t="inlineStr">
        <is>
          <t>T1-T14 list page, D1-D10 detail page. Status dropdown; summary counts below the table.</t>
        </is>
      </c>
    </row>
    <row r="9" ht="102.75" customHeight="1">
      <c r="A9" s="20" t="inlineStr">
        <is>
          <t>Issues</t>
        </is>
      </c>
      <c r="B9" s="17" t="inlineStr">
        <is>
          <t>Problems found and the question to answer.</t>
        </is>
      </c>
    </row>
    <row r="10">
      <c r="A10" s="20" t="inlineStr">
        <is>
          <t>Environment</t>
        </is>
      </c>
      <c r="B10" s="17" t="inlineStr">
        <is>
          <t>Dev server, account demo-construction. Readings are simulated by the demo streaming script; values change on each scoring run.</t>
        </is>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2026-10-24T10:08:54Z</dcterms:created>
  <dcterms:modified xmlns:dcterms="http://purl.org/dc/terms/" xmlns:xsi="http://www.w3.org/2001/XMLSchema-instance" xsi:type="dcterms:W3CDTF">2026-10-26T05:08:46Z</dcterms:modified>
</cp:coreProperties>
</file>